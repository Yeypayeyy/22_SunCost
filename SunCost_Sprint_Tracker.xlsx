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📊 Dashboard" sheetId="1" state="visible" r:id="rId1"/>
    <sheet name="🎓 Assessment Tracker" sheetId="2" state="visible" r:id="rId2"/>
    <sheet name="📋 Task Tracker" sheetId="3" state="visible" r:id="rId3"/>
    <sheet name="👥 Team" sheetId="4" state="visible" r:id="rId4"/>
    <sheet name="🔗 Resources" sheetId="5" state="visible" r:id="rId5"/>
  </sheets>
  <definedNames>
    <definedName name="_xlnm._FilterDatabase" localSheetId="2" hidden="1">'📋 Task Tracker'!$B$10:$M$74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dd\-mmm"/>
    <numFmt numFmtId="167" formatCode="yyyy-mm-dd h:mm:ss"/>
  </numFmts>
  <fonts count="40">
    <font>
      <name val="Calibri"/>
      <color theme="1"/>
      <sz val="11"/>
      <scheme val="minor"/>
    </font>
    <font>
      <name val="Calibri"/>
      <b val="1"/>
      <color rgb="FFFFFFFF"/>
      <sz val="18"/>
    </font>
    <font/>
    <font>
      <name val="Calibri"/>
      <i val="1"/>
      <color rgb="FF152A47"/>
      <sz val="10"/>
    </font>
    <font>
      <name val="Calibri"/>
      <b val="1"/>
      <color rgb="FFFFFFFF"/>
      <sz val="11"/>
    </font>
    <font>
      <name val="Calibri"/>
      <b val="1"/>
      <color rgb="FF152A47"/>
      <sz val="14"/>
    </font>
    <font>
      <name val="Calibri"/>
      <b val="1"/>
      <color rgb="FFFFFFFF"/>
      <sz val="20"/>
    </font>
    <font>
      <name val="Calibri"/>
      <color rgb="FF0F172A"/>
      <sz val="10"/>
    </font>
    <font>
      <name val="Plus Jakarta Sans"/>
      <color theme="1"/>
    </font>
    <font>
      <name val="Calibri"/>
      <b val="1"/>
      <color rgb="FF0F172A"/>
      <sz val="10"/>
    </font>
    <font>
      <name val="Calibri"/>
      <i val="1"/>
      <color rgb="FF152A47"/>
      <sz val="11"/>
    </font>
    <font>
      <name val="Plus Jakarta Sans"/>
      <b val="1"/>
      <color rgb="FFFFFFFF"/>
      <sz val="18"/>
    </font>
    <font>
      <name val="Calibri"/>
      <b val="1"/>
      <color rgb="FF152A47"/>
      <sz val="10"/>
    </font>
    <font>
      <name val="Plus Jakarta Sans"/>
      <i val="1"/>
      <color rgb="FF152A47"/>
      <sz val="10"/>
    </font>
    <font>
      <name val="Calibri"/>
      <b val="1"/>
      <color rgb="FFFFFFFF"/>
      <sz val="10"/>
    </font>
    <font>
      <name val="Plus Jakarta Sans"/>
      <b val="1"/>
      <color rgb="FFFFFFFF"/>
      <sz val="10"/>
    </font>
    <font>
      <name val="Plus Jakarta Sans"/>
      <b val="1"/>
      <color rgb="FF152A47"/>
      <sz val="10"/>
    </font>
    <font>
      <name val="Calibri"/>
      <b val="1"/>
      <color rgb="FF152A47"/>
      <sz val="24"/>
    </font>
    <font>
      <name val="Plus Jakarta Sans"/>
      <b val="1"/>
      <color rgb="FF152A47"/>
      <sz val="20"/>
    </font>
    <font>
      <name val="Calibri"/>
      <b val="1"/>
      <color rgb="FF152A47"/>
      <sz val="11"/>
    </font>
    <font>
      <name val="Plus Jakarta Sans"/>
      <b val="1"/>
      <color rgb="FFFFFFFF"/>
      <sz val="11"/>
    </font>
    <font>
      <name val="Calibri"/>
      <color rgb="FF0F172A"/>
      <sz val="9"/>
    </font>
    <font>
      <name val="Calibri"/>
      <color rgb="FF0F172A"/>
      <sz val="10"/>
      <u val="single"/>
    </font>
    <font>
      <name val="Plus Jakarta Sans"/>
      <color rgb="FF0F172A"/>
      <sz val="10"/>
    </font>
    <font>
      <name val="Calibri"/>
      <b val="1"/>
      <color rgb="FF152A47"/>
      <sz val="28"/>
    </font>
    <font>
      <name val="Calibri"/>
      <b val="1"/>
      <color rgb="FFFFFFFF"/>
      <sz val="12"/>
    </font>
    <font>
      <name val="Calibri"/>
      <b val="1"/>
      <color rgb="FF152A47"/>
      <sz val="12"/>
    </font>
    <font>
      <name val="Calibri"/>
      <i val="1"/>
      <color rgb="FF0F172A"/>
      <sz val="9"/>
    </font>
    <font>
      <name val="Calibri"/>
      <color theme="1"/>
      <scheme val="minor"/>
    </font>
    <font>
      <name val="Calibri"/>
      <b val="1"/>
      <color rgb="FF2A9D8F"/>
      <sz val="10"/>
    </font>
    <font>
      <name val="Calibri"/>
      <b val="1"/>
      <color rgb="FF1E3A5F"/>
      <sz val="10"/>
    </font>
    <font>
      <name val="Calibri"/>
      <b val="1"/>
      <color rgb="FFE76F51"/>
      <sz val="10"/>
    </font>
    <font>
      <name val="Calibri"/>
      <b val="1"/>
      <color rgb="FFF4C430"/>
      <sz val="10"/>
    </font>
    <font>
      <name val="Calibri"/>
      <b val="1"/>
      <color rgb="FF64748B"/>
      <sz val="10"/>
    </font>
    <font>
      <name val="Calibri"/>
      <b val="1"/>
      <color rgb="FFFFFFFF"/>
      <sz val="14"/>
    </font>
    <font>
      <name val="Calibri"/>
      <b val="1"/>
      <color theme="1"/>
      <sz val="11"/>
    </font>
    <font>
      <name val="Calibri"/>
      <color rgb="FF0F172A"/>
      <sz val="10"/>
      <u val="single"/>
    </font>
    <font>
      <name val="Calibri"/>
      <color rgb="FF0000FF"/>
      <sz val="10"/>
      <u val="single"/>
    </font>
    <font>
      <name val="Plus Jakarta Sans"/>
      <color rgb="FFD9EAD3"/>
      <sz val="10"/>
    </font>
    <font>
      <name val="Calibri"/>
      <color theme="1"/>
      <sz val="10"/>
    </font>
  </fonts>
  <fills count="20">
    <fill>
      <patternFill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4C430"/>
        <bgColor rgb="FFF4C430"/>
      </patternFill>
    </fill>
    <fill>
      <patternFill patternType="solid">
        <fgColor rgb="FFFAFBFC"/>
        <bgColor rgb="FFFAFBFC"/>
      </patternFill>
    </fill>
    <fill>
      <patternFill patternType="solid">
        <fgColor rgb="FF152A47"/>
        <bgColor rgb="FF152A47"/>
      </patternFill>
    </fill>
    <fill>
      <patternFill patternType="solid">
        <fgColor rgb="FFF1F5F9"/>
        <bgColor rgb="FFF1F5F9"/>
      </patternFill>
    </fill>
    <fill>
      <patternFill patternType="solid">
        <fgColor rgb="FF2A9D8F"/>
        <bgColor rgb="FF2A9D8F"/>
      </patternFill>
    </fill>
    <fill>
      <patternFill patternType="solid">
        <fgColor rgb="FF22C55E"/>
        <bgColor rgb="FF22C55E"/>
      </patternFill>
    </fill>
    <fill>
      <patternFill patternType="solid">
        <fgColor rgb="FFF59E0B"/>
        <bgColor rgb="FFF59E0B"/>
      </patternFill>
    </fill>
    <fill>
      <patternFill patternType="solid">
        <fgColor rgb="FFEF4444"/>
        <bgColor rgb="FFEF4444"/>
      </patternFill>
    </fill>
    <fill>
      <patternFill patternType="solid">
        <fgColor rgb="FF94A3B8"/>
        <bgColor rgb="FF94A3B8"/>
      </patternFill>
    </fill>
    <fill>
      <patternFill patternType="solid">
        <fgColor rgb="FFFFFFFF"/>
        <bgColor rgb="FFFFFFFF"/>
      </patternFill>
    </fill>
    <fill>
      <patternFill patternType="solid">
        <fgColor rgb="FFE76F51"/>
        <bgColor rgb="FFE76F51"/>
      </patternFill>
    </fill>
    <fill>
      <patternFill patternType="solid">
        <fgColor rgb="FF3D85C6"/>
        <bgColor rgb="FF3D85C6"/>
      </patternFill>
    </fill>
    <fill>
      <patternFill patternType="solid">
        <fgColor rgb="FFD9EAD3"/>
        <bgColor rgb="FFD9EAD3"/>
      </patternFill>
    </fill>
    <fill>
      <patternFill patternType="solid">
        <fgColor rgb="FFFFF4D6"/>
        <bgColor rgb="FFFFF4D6"/>
      </patternFill>
    </fill>
    <fill>
      <patternFill patternType="solid">
        <fgColor rgb="FF64748B"/>
        <bgColor rgb="FF64748B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</fills>
  <borders count="7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152A47"/>
      </left>
      <right style="thin">
        <color rgb="FF152A47"/>
      </right>
      <top style="thin">
        <color rgb="FF152A47"/>
      </top>
      <bottom style="thin">
        <color rgb="FF152A47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152A47"/>
      </left>
      <top style="thin">
        <color rgb="FF152A47"/>
      </top>
      <bottom style="thin">
        <color rgb="FF152A47"/>
      </bottom>
    </border>
    <border>
      <top style="thin">
        <color rgb="FF152A47"/>
      </top>
      <bottom style="thin">
        <color rgb="FF152A47"/>
      </bottom>
    </border>
    <border>
      <right/>
      <top style="thin">
        <color rgb="FF152A47"/>
      </top>
      <bottom style="thin">
        <color rgb="FF152A47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1E3A5F"/>
      </left>
      <top style="medium">
        <color rgb="FF1E3A5F"/>
      </top>
    </border>
    <border>
      <right/>
      <top style="medium">
        <color rgb="FF1E3A5F"/>
      </top>
    </border>
    <border>
      <left style="medium">
        <color rgb="FF22C55E"/>
      </left>
      <top style="medium">
        <color rgb="FF22C55E"/>
      </top>
    </border>
    <border>
      <right/>
      <top style="medium">
        <color rgb="FF22C55E"/>
      </top>
    </border>
    <border>
      <left style="medium">
        <color rgb="FFF59E0B"/>
      </left>
      <top style="medium">
        <color rgb="FFF59E0B"/>
      </top>
    </border>
    <border>
      <right/>
      <top style="medium">
        <color rgb="FFF59E0B"/>
      </top>
    </border>
    <border>
      <left style="medium">
        <color rgb="FFEF4444"/>
      </left>
      <top style="medium">
        <color rgb="FFEF4444"/>
      </top>
    </border>
    <border>
      <right/>
      <top style="medium">
        <color rgb="FFEF4444"/>
      </top>
    </border>
    <border>
      <left style="medium">
        <color rgb="FF1E3A5F"/>
      </left>
      <bottom/>
    </border>
    <border>
      <left style="medium">
        <color rgb="FF94A3B8"/>
      </left>
      <top style="medium">
        <color rgb="FF94A3B8"/>
      </top>
    </border>
    <border>
      <left style="medium">
        <color rgb="FF22C55E"/>
      </left>
      <bottom/>
    </border>
    <border>
      <right/>
      <top style="medium">
        <color rgb="FF94A3B8"/>
      </top>
    </border>
    <border>
      <left style="medium">
        <color rgb="FF152A47"/>
      </left>
      <right style="medium">
        <color rgb="FF152A47"/>
      </right>
      <top style="medium">
        <color rgb="FF152A47"/>
      </top>
      <bottom style="medium">
        <color rgb="FF152A47"/>
      </bottom>
    </border>
    <border>
      <left style="medium">
        <color rgb="FFF59E0B"/>
      </left>
      <bottom/>
    </border>
    <border>
      <left style="medium">
        <color rgb="FFEF4444"/>
      </left>
      <bottom/>
    </border>
    <border>
      <left style="medium">
        <color rgb="FFF4C430"/>
      </left>
      <top style="medium">
        <color rgb="FFF4C430"/>
      </top>
    </border>
    <border>
      <right/>
      <top style="medium">
        <color rgb="FFF4C430"/>
      </top>
    </border>
    <border>
      <left style="medium">
        <color rgb="FF94A3B8"/>
      </left>
      <bottom/>
    </border>
    <border>
      <left style="medium">
        <color rgb="FFF4C430"/>
      </left>
      <bottom/>
    </border>
    <border>
      <right style="thin">
        <color rgb="FF152A47"/>
      </right>
      <top style="thin">
        <color rgb="FF152A47"/>
      </top>
      <bottom style="thin">
        <color rgb="FF152A47"/>
      </bottom>
    </border>
    <border>
      <left style="medium">
        <color rgb="FFF4C430"/>
      </left>
      <top style="medium">
        <color rgb="FFF4C430"/>
      </top>
      <bottom style="medium">
        <color rgb="FFF4C430"/>
      </bottom>
    </border>
    <border>
      <top style="medium">
        <color rgb="FFF4C430"/>
      </top>
      <bottom style="medium">
        <color rgb="FFF4C430"/>
      </bottom>
    </border>
    <border>
      <right/>
      <top style="medium">
        <color rgb="FFF4C430"/>
      </top>
      <bottom style="medium">
        <color rgb="FFF4C430"/>
      </bottom>
    </border>
    <border>
      <right/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/>
      <top style="thin">
        <color rgb="FFCBD5E1"/>
      </top>
    </border>
    <border>
      <left style="thin">
        <color rgb="FFCBD5E1"/>
      </left>
    </border>
    <border>
      <right/>
    </border>
    <border>
      <left style="thin">
        <color rgb="FFCBD5E1"/>
      </left>
      <bottom/>
    </border>
    <border>
      <left/>
      <right/>
      <top/>
      <bottom/>
    </border>
    <border>
      <left style="thin">
        <color rgb="FFCBD5E1"/>
      </left>
      <right/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</border>
    <border>
      <left style="medium">
        <color rgb="FF1E3A5F"/>
      </left>
      <right/>
      <top style="medium">
        <color rgb="FF1E3A5F"/>
      </top>
      <bottom/>
    </border>
    <border>
      <top style="medium">
        <color rgb="FF1E3A5F"/>
      </top>
    </border>
    <border>
      <left style="medium">
        <color rgb="FF1E3A5F"/>
      </left>
    </border>
    <border>
      <left style="medium">
        <color rgb="FF22C55E"/>
      </left>
      <right/>
      <top style="medium">
        <color rgb="FF22C55E"/>
      </top>
      <bottom/>
    </border>
    <border>
      <top style="medium">
        <color rgb="FF22C55E"/>
      </top>
    </border>
    <border>
      <left style="medium">
        <color rgb="FF22C55E"/>
      </left>
    </border>
    <border>
      <left style="medium">
        <color rgb="FFF59E0B"/>
      </left>
      <right/>
      <top style="medium">
        <color rgb="FFF59E0B"/>
      </top>
      <bottom/>
    </border>
    <border>
      <top style="medium">
        <color rgb="FFF59E0B"/>
      </top>
    </border>
    <border>
      <left style="medium">
        <color rgb="FFF59E0B"/>
      </left>
    </border>
    <border>
      <left style="medium">
        <color rgb="FFEF4444"/>
      </left>
      <right/>
      <top style="medium">
        <color rgb="FFEF4444"/>
      </top>
      <bottom/>
    </border>
    <border>
      <top style="medium">
        <color rgb="FFEF4444"/>
      </top>
    </border>
    <border>
      <left style="medium">
        <color rgb="FFEF4444"/>
      </left>
    </border>
    <border>
      <left style="medium">
        <color rgb="FFF4C430"/>
      </left>
      <right/>
      <top style="medium">
        <color rgb="FFF4C430"/>
      </top>
      <bottom style="medium">
        <color rgb="FFF4C430"/>
      </bottom>
    </border>
    <border>
      <top style="medium">
        <color rgb="FFF4C430"/>
      </top>
    </border>
    <border>
      <left style="thin">
        <color rgb="FFCBD5E1"/>
      </left>
      <right/>
      <top style="thin">
        <color rgb="FFCBD5E1"/>
      </top>
      <bottom/>
    </border>
    <border>
      <left style="thin">
        <color rgb="FF152A47"/>
      </left>
      <right/>
      <top style="thin">
        <color rgb="FF152A47"/>
      </top>
      <bottom style="thin">
        <color rgb="FF152A47"/>
      </bottom>
    </border>
    <border>
      <top style="thin">
        <color rgb="FF152A47"/>
      </top>
    </border>
    <border>
      <right style="thin">
        <color rgb="FF152A47"/>
      </right>
      <top style="thin">
        <color rgb="FF152A47"/>
      </top>
    </border>
    <border>
      <left style="medium">
        <color rgb="FF94A3B8"/>
      </left>
      <right/>
      <top style="medium">
        <color rgb="FF94A3B8"/>
      </top>
      <bottom/>
    </border>
    <border>
      <top style="medium">
        <color rgb="FF94A3B8"/>
      </top>
    </border>
    <border>
      <left style="medium">
        <color rgb="FF94A3B8"/>
      </left>
    </border>
    <border>
      <left style="medium">
        <color rgb="FFF4C430"/>
      </left>
      <right/>
      <top style="medium">
        <color rgb="FFF4C430"/>
      </top>
      <bottom/>
    </border>
    <border>
      <left style="medium">
        <color rgb="FFF4C430"/>
      </left>
    </border>
  </borders>
  <cellStyleXfs count="1">
    <xf numFmtId="0" fontId="0" fillId="0" borderId="0"/>
  </cellStyleXfs>
  <cellXfs count="2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3" borderId="7" applyAlignment="1" pivotButton="0" quotePrefix="0" xfId="0">
      <alignment horizontal="left" vertical="center"/>
    </xf>
    <xf numFmtId="0" fontId="2" fillId="0" borderId="8" pivotButton="0" quotePrefix="0" xfId="0"/>
    <xf numFmtId="0" fontId="2" fillId="0" borderId="9" pivotButton="0" quotePrefix="0" xfId="0"/>
    <xf numFmtId="0" fontId="4" fillId="2" borderId="10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4" borderId="1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4" borderId="11" applyAlignment="1" pivotButton="0" quotePrefix="0" xfId="0">
      <alignment horizontal="left" vertical="center" wrapText="1"/>
    </xf>
    <xf numFmtId="0" fontId="4" fillId="5" borderId="10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left" vertical="center" wrapText="1"/>
    </xf>
    <xf numFmtId="0" fontId="8" fillId="0" borderId="0" applyAlignment="1" pivotButton="0" quotePrefix="0" xfId="0">
      <alignment wrapText="1"/>
    </xf>
    <xf numFmtId="0" fontId="7" fillId="4" borderId="11" applyAlignment="1" pivotButton="0" quotePrefix="0" xfId="0">
      <alignment horizontal="left" vertical="center" wrapText="1"/>
    </xf>
    <xf numFmtId="0" fontId="4" fillId="5" borderId="12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2" fillId="0" borderId="13" pivotButton="0" quotePrefix="0" xfId="0"/>
    <xf numFmtId="0" fontId="10" fillId="3" borderId="7" applyAlignment="1" pivotButton="0" quotePrefix="0" xfId="0">
      <alignment horizontal="left" vertical="center"/>
    </xf>
    <xf numFmtId="0" fontId="9" fillId="0" borderId="11" applyAlignment="1" pivotButton="0" quotePrefix="0" xfId="0">
      <alignment horizontal="left" vertical="center" wrapText="1"/>
    </xf>
    <xf numFmtId="0" fontId="2" fillId="0" borderId="14" pivotButton="0" quotePrefix="0" xfId="0"/>
    <xf numFmtId="0" fontId="7" fillId="0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center" vertical="center" wrapText="1"/>
    </xf>
    <xf numFmtId="0" fontId="7" fillId="4" borderId="15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0" fontId="2" fillId="0" borderId="16" pivotButton="0" quotePrefix="0" xfId="0"/>
    <xf numFmtId="0" fontId="7" fillId="4" borderId="11" applyAlignment="1" pivotButton="0" quotePrefix="0" xfId="0">
      <alignment horizontal="left" vertical="center"/>
    </xf>
    <xf numFmtId="0" fontId="2" fillId="0" borderId="17" pivotButton="0" quotePrefix="0" xfId="0"/>
    <xf numFmtId="0" fontId="12" fillId="6" borderId="11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4" fillId="7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/>
    </xf>
    <xf numFmtId="0" fontId="7" fillId="0" borderId="1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/>
    </xf>
    <xf numFmtId="0" fontId="13" fillId="3" borderId="7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 wrapText="1"/>
    </xf>
    <xf numFmtId="0" fontId="14" fillId="8" borderId="7" applyAlignment="1" pivotButton="0" quotePrefix="0" xfId="0">
      <alignment horizontal="center" vertical="center" wrapText="1"/>
    </xf>
    <xf numFmtId="0" fontId="12" fillId="9" borderId="7" applyAlignment="1" pivotButton="0" quotePrefix="0" xfId="0">
      <alignment horizontal="center" vertical="center" wrapText="1"/>
    </xf>
    <xf numFmtId="0" fontId="15" fillId="2" borderId="7" applyAlignment="1" pivotButton="0" quotePrefix="0" xfId="0">
      <alignment horizontal="center" vertical="center" wrapText="1"/>
    </xf>
    <xf numFmtId="0" fontId="14" fillId="10" borderId="7" applyAlignment="1" pivotButton="0" quotePrefix="0" xfId="0">
      <alignment horizontal="center" vertical="center" wrapText="1"/>
    </xf>
    <xf numFmtId="0" fontId="15" fillId="8" borderId="7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/>
    </xf>
    <xf numFmtId="0" fontId="16" fillId="9" borderId="7" applyAlignment="1" pivotButton="0" quotePrefix="0" xfId="0">
      <alignment horizontal="center" vertical="center" wrapText="1"/>
    </xf>
    <xf numFmtId="0" fontId="15" fillId="10" borderId="7" applyAlignment="1" pivotButton="0" quotePrefix="0" xfId="0">
      <alignment horizontal="center" vertical="center" wrapText="1"/>
    </xf>
    <xf numFmtId="0" fontId="15" fillId="11" borderId="7" applyAlignment="1" pivotButton="0" quotePrefix="0" xfId="0">
      <alignment horizontal="center" vertical="center" wrapText="1"/>
    </xf>
    <xf numFmtId="0" fontId="16" fillId="3" borderId="7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left" vertical="center"/>
    </xf>
    <xf numFmtId="9" fontId="7" fillId="4" borderId="11" applyAlignment="1" pivotButton="0" quotePrefix="0" xfId="0">
      <alignment horizontal="center" vertical="center" wrapText="1"/>
    </xf>
    <xf numFmtId="0" fontId="17" fillId="12" borderId="18" applyAlignment="1" pivotButton="0" quotePrefix="0" xfId="0">
      <alignment horizontal="center" vertical="center" wrapText="1"/>
    </xf>
    <xf numFmtId="0" fontId="2" fillId="0" borderId="19" pivotButton="0" quotePrefix="0" xfId="0"/>
    <xf numFmtId="0" fontId="18" fillId="12" borderId="18" applyAlignment="1" pivotButton="0" quotePrefix="0" xfId="0">
      <alignment horizontal="center" vertical="center" wrapText="1"/>
    </xf>
    <xf numFmtId="164" fontId="9" fillId="4" borderId="11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left" vertical="center"/>
    </xf>
    <xf numFmtId="0" fontId="18" fillId="12" borderId="20" applyAlignment="1" pivotButton="0" quotePrefix="0" xfId="0">
      <alignment horizontal="center" vertical="center" wrapText="1"/>
    </xf>
    <xf numFmtId="2" fontId="9" fillId="4" borderId="11" applyAlignment="1" pivotButton="0" quotePrefix="0" xfId="0">
      <alignment horizontal="center" vertical="center" wrapText="1"/>
    </xf>
    <xf numFmtId="0" fontId="17" fillId="12" borderId="20" applyAlignment="1" pivotButton="0" quotePrefix="0" xfId="0">
      <alignment horizontal="center" vertical="center" wrapText="1"/>
    </xf>
    <xf numFmtId="0" fontId="2" fillId="0" borderId="21" pivotButton="0" quotePrefix="0" xfId="0"/>
    <xf numFmtId="0" fontId="9" fillId="0" borderId="11" applyAlignment="1" pivotButton="0" quotePrefix="0" xfId="0">
      <alignment horizontal="left" vertical="center"/>
    </xf>
    <xf numFmtId="9" fontId="7" fillId="0" borderId="11" applyAlignment="1" pivotButton="0" quotePrefix="0" xfId="0">
      <alignment horizontal="center" vertical="center" wrapText="1"/>
    </xf>
    <xf numFmtId="0" fontId="18" fillId="12" borderId="22" applyAlignment="1" pivotButton="0" quotePrefix="0" xfId="0">
      <alignment horizontal="center" vertical="center" wrapText="1"/>
    </xf>
    <xf numFmtId="164" fontId="9" fillId="0" borderId="11" applyAlignment="1" pivotButton="0" quotePrefix="0" xfId="0">
      <alignment horizontal="center" vertical="center" wrapText="1"/>
    </xf>
    <xf numFmtId="0" fontId="2" fillId="0" borderId="23" pivotButton="0" quotePrefix="0" xfId="0"/>
    <xf numFmtId="0" fontId="17" fillId="12" borderId="22" applyAlignment="1" pivotButton="0" quotePrefix="0" xfId="0">
      <alignment horizontal="center" vertical="center" wrapText="1"/>
    </xf>
    <xf numFmtId="2" fontId="9" fillId="0" borderId="11" applyAlignment="1" pivotButton="0" quotePrefix="0" xfId="0">
      <alignment horizontal="center" vertical="center" wrapText="1"/>
    </xf>
    <xf numFmtId="0" fontId="17" fillId="12" borderId="24" applyAlignment="1" pivotButton="0" quotePrefix="0" xfId="0">
      <alignment horizontal="center" vertical="center" wrapText="1"/>
    </xf>
    <xf numFmtId="0" fontId="18" fillId="12" borderId="24" applyAlignment="1" pivotButton="0" quotePrefix="0" xfId="0">
      <alignment horizontal="center" vertical="center" wrapText="1"/>
    </xf>
    <xf numFmtId="0" fontId="2" fillId="0" borderId="25" pivotButton="0" quotePrefix="0" xfId="0"/>
    <xf numFmtId="0" fontId="2" fillId="0" borderId="26" pivotButton="0" quotePrefix="0" xfId="0"/>
    <xf numFmtId="0" fontId="18" fillId="12" borderId="27" applyAlignment="1" pivotButton="0" quotePrefix="0" xfId="0">
      <alignment horizontal="center" vertical="center" wrapText="1"/>
    </xf>
    <xf numFmtId="0" fontId="2" fillId="0" borderId="28" pivotButton="0" quotePrefix="0" xfId="0"/>
    <xf numFmtId="0" fontId="2" fillId="0" borderId="29" pivotButton="0" quotePrefix="0" xfId="0"/>
    <xf numFmtId="0" fontId="19" fillId="3" borderId="30" applyAlignment="1" pivotButton="0" quotePrefix="0" xfId="0">
      <alignment horizontal="center" vertical="center" wrapText="1"/>
    </xf>
    <xf numFmtId="0" fontId="2" fillId="0" borderId="31" pivotButton="0" quotePrefix="0" xfId="0"/>
    <xf numFmtId="0" fontId="2" fillId="0" borderId="32" pivotButton="0" quotePrefix="0" xfId="0"/>
    <xf numFmtId="9" fontId="19" fillId="3" borderId="30" applyAlignment="1" pivotButton="0" quotePrefix="0" xfId="0">
      <alignment horizontal="center" vertical="center" wrapText="1"/>
    </xf>
    <xf numFmtId="9" fontId="18" fillId="12" borderId="33" applyAlignment="1" pivotButton="0" quotePrefix="0" xfId="0">
      <alignment horizontal="center" vertical="center" wrapText="1"/>
    </xf>
    <xf numFmtId="2" fontId="19" fillId="3" borderId="30" applyAlignment="1" pivotButton="0" quotePrefix="0" xfId="0">
      <alignment horizontal="center" vertical="center" wrapText="1"/>
    </xf>
    <xf numFmtId="0" fontId="2" fillId="0" borderId="34" pivotButton="0" quotePrefix="0" xfId="0"/>
    <xf numFmtId="0" fontId="14" fillId="5" borderId="7" applyAlignment="1" pivotButton="0" quotePrefix="0" xfId="0">
      <alignment horizontal="center" vertical="center" wrapText="1"/>
    </xf>
    <xf numFmtId="0" fontId="2" fillId="0" borderId="35" pivotButton="0" quotePrefix="0" xfId="0"/>
    <xf numFmtId="0" fontId="4" fillId="13" borderId="10" applyAlignment="1" pivotButton="0" quotePrefix="0" xfId="0">
      <alignment horizontal="center" vertical="center" wrapText="1"/>
    </xf>
    <xf numFmtId="0" fontId="2" fillId="0" borderId="36" pivotButton="0" quotePrefix="0" xfId="0"/>
    <xf numFmtId="0" fontId="4" fillId="13" borderId="12" applyAlignment="1" pivotButton="0" quotePrefix="0" xfId="0">
      <alignment horizontal="center" vertical="center" wrapText="1"/>
    </xf>
    <xf numFmtId="0" fontId="2" fillId="0" borderId="37" pivotButton="0" quotePrefix="0" xfId="0"/>
    <xf numFmtId="0" fontId="20" fillId="2" borderId="10" applyAlignment="1" pivotButton="0" quotePrefix="0" xfId="0">
      <alignment horizontal="center" vertical="center" wrapText="1"/>
    </xf>
    <xf numFmtId="0" fontId="21" fillId="4" borderId="11" applyAlignment="1" pivotButton="0" quotePrefix="0" xfId="0">
      <alignment horizontal="center" vertical="center" wrapText="1"/>
    </xf>
    <xf numFmtId="0" fontId="21" fillId="4" borderId="15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 wrapText="1"/>
    </xf>
    <xf numFmtId="0" fontId="20" fillId="2" borderId="10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2" fillId="0" borderId="15" applyAlignment="1" pivotButton="0" quotePrefix="0" xfId="0">
      <alignment horizontal="left" vertical="center"/>
    </xf>
    <xf numFmtId="0" fontId="21" fillId="0" borderId="15" applyAlignment="1" pivotButton="0" quotePrefix="0" xfId="0">
      <alignment horizontal="center" vertical="center" wrapText="1"/>
    </xf>
    <xf numFmtId="0" fontId="23" fillId="4" borderId="11" applyAlignment="1" pivotButton="0" quotePrefix="0" xfId="0">
      <alignment horizontal="center" vertical="center" wrapText="1"/>
    </xf>
    <xf numFmtId="0" fontId="23" fillId="4" borderId="11" applyAlignment="1" pivotButton="0" quotePrefix="0" xfId="0">
      <alignment horizontal="left" vertical="center" wrapText="1"/>
    </xf>
    <xf numFmtId="0" fontId="23" fillId="15" borderId="11" applyAlignment="1" pivotButton="0" quotePrefix="0" xfId="0">
      <alignment horizontal="center" vertical="center" wrapText="1"/>
    </xf>
    <xf numFmtId="165" fontId="24" fillId="16" borderId="38" applyAlignment="1" pivotButton="0" quotePrefix="0" xfId="0">
      <alignment horizontal="center" vertical="center" wrapText="1"/>
    </xf>
    <xf numFmtId="0" fontId="23" fillId="15" borderId="11" applyAlignment="1" pivotButton="0" quotePrefix="0" xfId="0">
      <alignment horizontal="left" vertical="center" wrapText="1"/>
    </xf>
    <xf numFmtId="0" fontId="2" fillId="0" borderId="39" pivotButton="0" quotePrefix="0" xfId="0"/>
    <xf numFmtId="0" fontId="2" fillId="0" borderId="40" pivotButton="0" quotePrefix="0" xfId="0"/>
    <xf numFmtId="0" fontId="12" fillId="6" borderId="11" applyAlignment="1" pivotButton="0" quotePrefix="0" xfId="0">
      <alignment horizontal="left" vertical="center"/>
    </xf>
    <xf numFmtId="0" fontId="23" fillId="15" borderId="11" applyAlignment="1" pivotButton="0" quotePrefix="0" xfId="0">
      <alignment horizontal="center" vertical="center" wrapText="1"/>
    </xf>
    <xf numFmtId="166" fontId="23" fillId="15" borderId="11" applyAlignment="1" pivotButton="0" quotePrefix="0" xfId="0">
      <alignment horizontal="center" vertical="center" wrapText="1"/>
    </xf>
    <xf numFmtId="0" fontId="25" fillId="7" borderId="7" applyAlignment="1" pivotButton="0" quotePrefix="0" xfId="0">
      <alignment horizontal="center" vertical="center" wrapText="1"/>
    </xf>
    <xf numFmtId="1" fontId="23" fillId="15" borderId="11" applyAlignment="1" pivotButton="0" quotePrefix="0" xfId="0">
      <alignment horizontal="center" vertical="center" wrapText="1"/>
    </xf>
    <xf numFmtId="0" fontId="25" fillId="2" borderId="7" applyAlignment="1" pivotButton="0" quotePrefix="0" xfId="0">
      <alignment horizontal="center" vertical="center" wrapText="1"/>
    </xf>
    <xf numFmtId="0" fontId="25" fillId="13" borderId="7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6" fillId="3" borderId="7" applyAlignment="1" pivotButton="0" quotePrefix="0" xfId="0">
      <alignment horizontal="center" vertical="center" wrapText="1"/>
    </xf>
    <xf numFmtId="0" fontId="25" fillId="17" borderId="7" applyAlignment="1" pivotButton="0" quotePrefix="0" xfId="0">
      <alignment horizontal="center" vertical="center" wrapText="1"/>
    </xf>
    <xf numFmtId="0" fontId="27" fillId="6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6" fontId="23" fillId="15" borderId="11" applyAlignment="1" pivotButton="0" quotePrefix="0" xfId="0">
      <alignment horizontal="center" vertical="center" wrapText="1"/>
    </xf>
    <xf numFmtId="0" fontId="28" fillId="18" borderId="0" pivotButton="0" quotePrefix="0" xfId="0"/>
    <xf numFmtId="0" fontId="23" fillId="15" borderId="11" applyAlignment="1" pivotButton="0" quotePrefix="0" xfId="0">
      <alignment horizontal="left" vertical="center" wrapText="1"/>
    </xf>
    <xf numFmtId="0" fontId="29" fillId="12" borderId="7" applyAlignment="1" pivotButton="0" quotePrefix="0" xfId="0">
      <alignment horizontal="center" vertical="center" wrapText="1"/>
    </xf>
    <xf numFmtId="0" fontId="30" fillId="12" borderId="7" applyAlignment="1" pivotButton="0" quotePrefix="0" xfId="0">
      <alignment horizontal="center" vertical="center" wrapText="1"/>
    </xf>
    <xf numFmtId="0" fontId="31" fillId="12" borderId="7" applyAlignment="1" pivotButton="0" quotePrefix="0" xfId="0">
      <alignment horizontal="center" vertical="center" wrapText="1"/>
    </xf>
    <xf numFmtId="0" fontId="32" fillId="12" borderId="7" applyAlignment="1" pivotButton="0" quotePrefix="0" xfId="0">
      <alignment horizontal="center" vertical="center" wrapText="1"/>
    </xf>
    <xf numFmtId="0" fontId="33" fillId="12" borderId="7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9" fontId="34" fillId="7" borderId="7" applyAlignment="1" pivotButton="0" quotePrefix="0" xfId="0">
      <alignment horizontal="center" vertical="center" wrapText="1"/>
    </xf>
    <xf numFmtId="9" fontId="34" fillId="2" borderId="7" applyAlignment="1" pivotButton="0" quotePrefix="0" xfId="0">
      <alignment horizontal="center" vertical="center" wrapText="1"/>
    </xf>
    <xf numFmtId="9" fontId="34" fillId="13" borderId="7" applyAlignment="1" pivotButton="0" quotePrefix="0" xfId="0">
      <alignment horizontal="center" vertical="center" wrapText="1"/>
    </xf>
    <xf numFmtId="9" fontId="5" fillId="3" borderId="7" applyAlignment="1" pivotButton="0" quotePrefix="0" xfId="0">
      <alignment horizontal="center" vertical="center" wrapText="1"/>
    </xf>
    <xf numFmtId="9" fontId="34" fillId="17" borderId="7" applyAlignment="1" pivotButton="0" quotePrefix="0" xfId="0">
      <alignment horizontal="center" vertical="center" wrapText="1"/>
    </xf>
    <xf numFmtId="0" fontId="23" fillId="19" borderId="11" applyAlignment="1" pivotButton="0" quotePrefix="0" xfId="0">
      <alignment horizontal="left" vertical="center" wrapText="1"/>
    </xf>
    <xf numFmtId="0" fontId="14" fillId="11" borderId="15" applyAlignment="1" pivotButton="0" quotePrefix="0" xfId="0">
      <alignment horizontal="center" vertical="center" wrapText="1"/>
    </xf>
    <xf numFmtId="0" fontId="2" fillId="0" borderId="41" pivotButton="0" quotePrefix="0" xfId="0"/>
    <xf numFmtId="0" fontId="12" fillId="9" borderId="15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 wrapText="1"/>
    </xf>
    <xf numFmtId="0" fontId="14" fillId="8" borderId="15" applyAlignment="1" pivotButton="0" quotePrefix="0" xfId="0">
      <alignment horizontal="center" vertical="center" wrapText="1"/>
    </xf>
    <xf numFmtId="0" fontId="14" fillId="10" borderId="15" applyAlignment="1" pivotButton="0" quotePrefix="0" xfId="0">
      <alignment horizontal="center" vertical="center" wrapText="1"/>
    </xf>
    <xf numFmtId="0" fontId="14" fillId="17" borderId="15" applyAlignment="1" pivotButton="0" quotePrefix="0" xfId="0">
      <alignment horizontal="center" vertical="center" wrapText="1"/>
    </xf>
    <xf numFmtId="0" fontId="7" fillId="16" borderId="42" applyAlignment="1" pivotButton="0" quotePrefix="0" xfId="0">
      <alignment horizontal="left" vertical="top" wrapText="1"/>
    </xf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2" fillId="0" borderId="47" pivotButton="0" quotePrefix="0" xfId="0"/>
    <xf numFmtId="0" fontId="23" fillId="0" borderId="11" applyAlignment="1" pivotButton="0" quotePrefix="0" xfId="0">
      <alignment horizontal="left" vertical="center" wrapText="1"/>
    </xf>
    <xf numFmtId="0" fontId="23" fillId="0" borderId="11" applyAlignment="1" pivotButton="0" quotePrefix="0" xfId="0">
      <alignment horizontal="center" vertical="center" wrapText="1"/>
    </xf>
    <xf numFmtId="166" fontId="23" fillId="0" borderId="11" applyAlignment="1" pivotButton="0" quotePrefix="0" xfId="0">
      <alignment horizontal="center" vertical="center" wrapText="1"/>
    </xf>
    <xf numFmtId="1" fontId="23" fillId="0" borderId="1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7" fillId="4" borderId="11" applyAlignment="1" pivotButton="0" quotePrefix="0" xfId="0">
      <alignment vertical="center" wrapText="1"/>
    </xf>
    <xf numFmtId="0" fontId="9" fillId="4" borderId="11" applyAlignment="1" pivotButton="0" quotePrefix="0" xfId="0">
      <alignment horizontal="left" vertical="center" wrapText="1"/>
    </xf>
    <xf numFmtId="0" fontId="7" fillId="4" borderId="11" applyAlignment="1" pivotButton="0" quotePrefix="0" xfId="0">
      <alignment horizontal="left" vertical="center" wrapText="1"/>
    </xf>
    <xf numFmtId="0" fontId="36" fillId="4" borderId="11" applyAlignment="1" pivotButton="0" quotePrefix="0" xfId="0">
      <alignment horizontal="left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vertical="center" wrapText="1"/>
    </xf>
    <xf numFmtId="0" fontId="9" fillId="0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0" fontId="37" fillId="0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38" fillId="15" borderId="11" applyAlignment="1" pivotButton="0" quotePrefix="0" xfId="0">
      <alignment horizontal="left" vertical="center" wrapText="1"/>
    </xf>
    <xf numFmtId="0" fontId="39" fillId="0" borderId="11" applyAlignment="1" pivotButton="0" quotePrefix="0" xfId="0">
      <alignment horizontal="left" vertical="center" wrapText="1"/>
    </xf>
    <xf numFmtId="0" fontId="38" fillId="15" borderId="11" applyAlignment="1" pivotButton="0" quotePrefix="0" xfId="0">
      <alignment horizontal="center" vertical="center" wrapText="1"/>
    </xf>
    <xf numFmtId="0" fontId="38" fillId="15" borderId="11" applyAlignment="1" pivotButton="0" quotePrefix="0" xfId="0">
      <alignment horizontal="center" vertical="center" wrapText="1"/>
    </xf>
    <xf numFmtId="166" fontId="38" fillId="15" borderId="11" applyAlignment="1" pivotButton="0" quotePrefix="0" xfId="0">
      <alignment horizontal="center" vertical="center" wrapText="1"/>
    </xf>
    <xf numFmtId="1" fontId="38" fillId="15" borderId="11" applyAlignment="1" pivotButton="0" quotePrefix="0" xfId="0">
      <alignment horizontal="center" vertical="center" wrapText="1"/>
    </xf>
    <xf numFmtId="0" fontId="38" fillId="0" borderId="11" applyAlignment="1" pivotButton="0" quotePrefix="0" xfId="0">
      <alignment horizontal="left" vertical="center" wrapText="1"/>
    </xf>
    <xf numFmtId="0" fontId="23" fillId="19" borderId="11" applyAlignment="1" pivotButton="0" quotePrefix="0" xfId="0">
      <alignment horizontal="center" vertical="center" wrapText="1"/>
    </xf>
    <xf numFmtId="0" fontId="23" fillId="19" borderId="11" applyAlignment="1" pivotButton="0" quotePrefix="0" xfId="0">
      <alignment horizontal="center" vertical="center" wrapText="1"/>
    </xf>
    <xf numFmtId="166" fontId="23" fillId="19" borderId="11" applyAlignment="1" pivotButton="0" quotePrefix="0" xfId="0">
      <alignment horizontal="center" vertical="center" wrapText="1"/>
    </xf>
    <xf numFmtId="1" fontId="23" fillId="19" borderId="11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left" vertical="center" wrapText="1"/>
    </xf>
    <xf numFmtId="0" fontId="28" fillId="0" borderId="0" pivotButton="0" quotePrefix="0" xfId="0"/>
    <xf numFmtId="0" fontId="0" fillId="0" borderId="0" pivotButton="0" quotePrefix="0" xfId="0"/>
    <xf numFmtId="0" fontId="6" fillId="2" borderId="48" applyAlignment="1" pivotButton="0" quotePrefix="0" xfId="0">
      <alignment horizontal="left" vertical="center"/>
    </xf>
    <xf numFmtId="0" fontId="10" fillId="3" borderId="48" applyAlignment="1" pivotButton="0" quotePrefix="0" xfId="0">
      <alignment horizontal="left" vertical="center"/>
    </xf>
    <xf numFmtId="0" fontId="5" fillId="3" borderId="48" applyAlignment="1" pivotButton="0" quotePrefix="0" xfId="0">
      <alignment horizontal="left" vertical="center"/>
    </xf>
    <xf numFmtId="0" fontId="14" fillId="2" borderId="48" applyAlignment="1" pivotButton="0" quotePrefix="0" xfId="0">
      <alignment horizontal="center" vertical="center" wrapText="1"/>
    </xf>
    <xf numFmtId="0" fontId="14" fillId="8" borderId="48" applyAlignment="1" pivotButton="0" quotePrefix="0" xfId="0">
      <alignment horizontal="center" vertical="center" wrapText="1"/>
    </xf>
    <xf numFmtId="0" fontId="12" fillId="9" borderId="48" applyAlignment="1" pivotButton="0" quotePrefix="0" xfId="0">
      <alignment horizontal="center" vertical="center" wrapText="1"/>
    </xf>
    <xf numFmtId="0" fontId="14" fillId="10" borderId="48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7" fillId="12" borderId="51" applyAlignment="1" pivotButton="0" quotePrefix="0" xfId="0">
      <alignment horizontal="center" vertical="center" wrapText="1"/>
    </xf>
    <xf numFmtId="0" fontId="0" fillId="0" borderId="52" pivotButton="0" quotePrefix="0" xfId="0"/>
    <xf numFmtId="0" fontId="17" fillId="12" borderId="54" applyAlignment="1" pivotButton="0" quotePrefix="0" xfId="0">
      <alignment horizontal="center" vertical="center" wrapText="1"/>
    </xf>
    <xf numFmtId="0" fontId="0" fillId="0" borderId="55" pivotButton="0" quotePrefix="0" xfId="0"/>
    <xf numFmtId="0" fontId="17" fillId="12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17" fillId="12" borderId="60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53" pivotButton="0" quotePrefix="0" xfId="0"/>
    <xf numFmtId="0" fontId="0" fillId="0" borderId="56" pivotButton="0" quotePrefix="0" xfId="0"/>
    <xf numFmtId="0" fontId="0" fillId="0" borderId="59" pivotButton="0" quotePrefix="0" xfId="0"/>
    <xf numFmtId="0" fontId="0" fillId="0" borderId="62" pivotButton="0" quotePrefix="0" xfId="0"/>
    <xf numFmtId="0" fontId="14" fillId="5" borderId="48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left" vertical="center"/>
    </xf>
    <xf numFmtId="165" fontId="24" fillId="16" borderId="63" applyAlignment="1" pivotButton="0" quotePrefix="0" xfId="0">
      <alignment horizontal="center" vertical="center" wrapText="1"/>
    </xf>
    <xf numFmtId="0" fontId="0" fillId="0" borderId="39" pivotButton="0" quotePrefix="0" xfId="0"/>
    <xf numFmtId="0" fontId="25" fillId="7" borderId="48" applyAlignment="1" pivotButton="0" quotePrefix="0" xfId="0">
      <alignment horizontal="center" vertical="center" wrapText="1"/>
    </xf>
    <xf numFmtId="0" fontId="25" fillId="2" borderId="48" applyAlignment="1" pivotButton="0" quotePrefix="0" xfId="0">
      <alignment horizontal="center" vertical="center" wrapText="1"/>
    </xf>
    <xf numFmtId="0" fontId="25" fillId="13" borderId="48" applyAlignment="1" pivotButton="0" quotePrefix="0" xfId="0">
      <alignment horizontal="center" vertical="center" wrapText="1"/>
    </xf>
    <xf numFmtId="0" fontId="26" fillId="3" borderId="48" applyAlignment="1" pivotButton="0" quotePrefix="0" xfId="0">
      <alignment horizontal="center" vertical="center" wrapText="1"/>
    </xf>
    <xf numFmtId="0" fontId="25" fillId="17" borderId="48" applyAlignment="1" pivotButton="0" quotePrefix="0" xfId="0">
      <alignment horizontal="center" vertical="center" wrapText="1"/>
    </xf>
    <xf numFmtId="0" fontId="27" fillId="6" borderId="48" applyAlignment="1" pivotButton="0" quotePrefix="0" xfId="0">
      <alignment horizontal="center" vertical="center" wrapText="1"/>
    </xf>
    <xf numFmtId="0" fontId="29" fillId="12" borderId="48" applyAlignment="1" pivotButton="0" quotePrefix="0" xfId="0">
      <alignment horizontal="center" vertical="center" wrapText="1"/>
    </xf>
    <xf numFmtId="0" fontId="30" fillId="12" borderId="48" applyAlignment="1" pivotButton="0" quotePrefix="0" xfId="0">
      <alignment horizontal="center" vertical="center" wrapText="1"/>
    </xf>
    <xf numFmtId="0" fontId="31" fillId="12" borderId="48" applyAlignment="1" pivotButton="0" quotePrefix="0" xfId="0">
      <alignment horizontal="center" vertical="center" wrapText="1"/>
    </xf>
    <xf numFmtId="0" fontId="32" fillId="12" borderId="48" applyAlignment="1" pivotButton="0" quotePrefix="0" xfId="0">
      <alignment horizontal="center" vertical="center" wrapText="1"/>
    </xf>
    <xf numFmtId="0" fontId="33" fillId="12" borderId="48" applyAlignment="1" pivotButton="0" quotePrefix="0" xfId="0">
      <alignment horizontal="center" vertical="center" wrapText="1"/>
    </xf>
    <xf numFmtId="0" fontId="21" fillId="12" borderId="48" applyAlignment="1" pivotButton="0" quotePrefix="0" xfId="0">
      <alignment horizontal="center" vertical="center" wrapText="1"/>
    </xf>
    <xf numFmtId="9" fontId="34" fillId="7" borderId="48" applyAlignment="1" pivotButton="0" quotePrefix="0" xfId="0">
      <alignment horizontal="center" vertical="center" wrapText="1"/>
    </xf>
    <xf numFmtId="9" fontId="34" fillId="2" borderId="48" applyAlignment="1" pivotButton="0" quotePrefix="0" xfId="0">
      <alignment horizontal="center" vertical="center" wrapText="1"/>
    </xf>
    <xf numFmtId="9" fontId="34" fillId="13" borderId="48" applyAlignment="1" pivotButton="0" quotePrefix="0" xfId="0">
      <alignment horizontal="center" vertical="center" wrapText="1"/>
    </xf>
    <xf numFmtId="9" fontId="5" fillId="3" borderId="48" applyAlignment="1" pivotButton="0" quotePrefix="0" xfId="0">
      <alignment horizontal="center" vertical="center" wrapText="1"/>
    </xf>
    <xf numFmtId="9" fontId="34" fillId="17" borderId="48" applyAlignment="1" pivotButton="0" quotePrefix="0" xfId="0">
      <alignment horizontal="center" vertical="center" wrapText="1"/>
    </xf>
    <xf numFmtId="0" fontId="14" fillId="11" borderId="49" applyAlignment="1" pivotButton="0" quotePrefix="0" xfId="0">
      <alignment horizontal="center" vertical="center" wrapText="1"/>
    </xf>
    <xf numFmtId="0" fontId="12" fillId="9" borderId="49" applyAlignment="1" pivotButton="0" quotePrefix="0" xfId="0">
      <alignment horizontal="center" vertical="center" wrapText="1"/>
    </xf>
    <xf numFmtId="0" fontId="14" fillId="2" borderId="49" applyAlignment="1" pivotButton="0" quotePrefix="0" xfId="0">
      <alignment horizontal="center" vertical="center" wrapText="1"/>
    </xf>
    <xf numFmtId="0" fontId="14" fillId="8" borderId="49" applyAlignment="1" pivotButton="0" quotePrefix="0" xfId="0">
      <alignment horizontal="center" vertical="center" wrapText="1"/>
    </xf>
    <xf numFmtId="0" fontId="14" fillId="10" borderId="49" applyAlignment="1" pivotButton="0" quotePrefix="0" xfId="0">
      <alignment horizontal="center" vertical="center" wrapText="1"/>
    </xf>
    <xf numFmtId="0" fontId="14" fillId="17" borderId="49" applyAlignment="1" pivotButton="0" quotePrefix="0" xfId="0">
      <alignment horizontal="center" vertical="center" wrapText="1"/>
    </xf>
    <xf numFmtId="0" fontId="7" fillId="16" borderId="65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5" pivotButton="0" quotePrefix="0" xfId="0"/>
    <xf numFmtId="0" fontId="1" fillId="2" borderId="48" applyAlignment="1" pivotButton="0" quotePrefix="0" xfId="0">
      <alignment horizontal="left" vertical="center"/>
    </xf>
    <xf numFmtId="0" fontId="3" fillId="3" borderId="48" applyAlignment="1" pivotButton="0" quotePrefix="0" xfId="0">
      <alignment horizontal="left" vertical="center"/>
    </xf>
    <xf numFmtId="0" fontId="4" fillId="5" borderId="66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37" pivotButton="0" quotePrefix="0" xfId="0"/>
    <xf numFmtId="0" fontId="11" fillId="2" borderId="48" applyAlignment="1" pivotButton="0" quotePrefix="0" xfId="0">
      <alignment horizontal="center" vertical="center"/>
    </xf>
    <xf numFmtId="0" fontId="13" fillId="3" borderId="48" applyAlignment="1" pivotButton="0" quotePrefix="0" xfId="0">
      <alignment horizontal="center" vertical="center"/>
    </xf>
    <xf numFmtId="0" fontId="15" fillId="2" borderId="48" applyAlignment="1" pivotButton="0" quotePrefix="0" xfId="0">
      <alignment horizontal="center" vertical="center" wrapText="1"/>
    </xf>
    <xf numFmtId="0" fontId="15" fillId="8" borderId="48" applyAlignment="1" pivotButton="0" quotePrefix="0" xfId="0">
      <alignment horizontal="center" vertical="center" wrapText="1"/>
    </xf>
    <xf numFmtId="0" fontId="16" fillId="9" borderId="48" applyAlignment="1" pivotButton="0" quotePrefix="0" xfId="0">
      <alignment horizontal="center" vertical="center" wrapText="1"/>
    </xf>
    <xf numFmtId="0" fontId="15" fillId="10" borderId="48" applyAlignment="1" pivotButton="0" quotePrefix="0" xfId="0">
      <alignment horizontal="center" vertical="center" wrapText="1"/>
    </xf>
    <xf numFmtId="0" fontId="15" fillId="11" borderId="48" applyAlignment="1" pivotButton="0" quotePrefix="0" xfId="0">
      <alignment horizontal="center" vertical="center" wrapText="1"/>
    </xf>
    <xf numFmtId="0" fontId="16" fillId="3" borderId="48" applyAlignment="1" pivotButton="0" quotePrefix="0" xfId="0">
      <alignment horizontal="center" vertical="center" wrapText="1"/>
    </xf>
    <xf numFmtId="0" fontId="18" fillId="12" borderId="51" applyAlignment="1" pivotButton="0" quotePrefix="0" xfId="0">
      <alignment horizontal="center" vertical="center" wrapText="1"/>
    </xf>
    <xf numFmtId="0" fontId="18" fillId="12" borderId="54" applyAlignment="1" pivotButton="0" quotePrefix="0" xfId="0">
      <alignment horizontal="center" vertical="center" wrapText="1"/>
    </xf>
    <xf numFmtId="0" fontId="18" fillId="12" borderId="57" applyAlignment="1" pivotButton="0" quotePrefix="0" xfId="0">
      <alignment horizontal="center" vertical="center" wrapText="1"/>
    </xf>
    <xf numFmtId="0" fontId="18" fillId="12" borderId="60" applyAlignment="1" pivotButton="0" quotePrefix="0" xfId="0">
      <alignment horizontal="center" vertical="center" wrapText="1"/>
    </xf>
    <xf numFmtId="0" fontId="18" fillId="12" borderId="69" applyAlignment="1" pivotButton="0" quotePrefix="0" xfId="0">
      <alignment horizontal="center" vertical="center" wrapText="1"/>
    </xf>
    <xf numFmtId="0" fontId="0" fillId="0" borderId="70" pivotButton="0" quotePrefix="0" xfId="0"/>
    <xf numFmtId="9" fontId="18" fillId="12" borderId="72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71" pivotButton="0" quotePrefix="0" xfId="0"/>
    <xf numFmtId="0" fontId="0" fillId="0" borderId="73" pivotButton="0" quotePrefix="0" xfId="0"/>
    <xf numFmtId="167" fontId="23" fillId="0" borderId="11" applyAlignment="1" pivotButton="0" quotePrefix="0" xfId="0">
      <alignment horizontal="center" vertical="center" wrapText="1"/>
    </xf>
    <xf numFmtId="0" fontId="1" fillId="2" borderId="48" applyAlignment="1" pivotButton="0" quotePrefix="0" xfId="0">
      <alignment horizontal="center" vertical="center"/>
    </xf>
    <xf numFmtId="0" fontId="3" fillId="3" borderId="48" applyAlignment="1" pivotButton="0" quotePrefix="0" xfId="0">
      <alignment horizontal="center" vertical="center"/>
    </xf>
  </cellXfs>
  <cellStyles count="1">
    <cellStyle name="Normal" xfId="0" builtinId="0"/>
  </cellStyles>
  <dxfs count="27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name val="Calibri"/>
        <color rgb="FF152A47"/>
        <sz val="10"/>
      </font>
      <fill>
        <patternFill patternType="solid">
          <fgColor rgb="FFDBEAFE"/>
          <bgColor rgb="FFDBEAFE"/>
        </patternFill>
      </fill>
      <border/>
    </dxf>
    <dxf>
      <font>
        <name val="Calibri"/>
        <color rgb="FF152A47"/>
        <sz val="10"/>
      </font>
      <fill>
        <patternFill patternType="solid">
          <fgColor rgb="FFFFF4D6"/>
          <bgColor rgb="FFFFF4D6"/>
        </patternFill>
      </fill>
      <border/>
    </dxf>
    <dxf>
      <font>
        <name val="Calibri"/>
        <color rgb="FF152A47"/>
        <sz val="10"/>
      </font>
      <fill>
        <patternFill patternType="solid">
          <fgColor rgb="FFD8F1EE"/>
          <bgColor rgb="FFD8F1EE"/>
        </patternFill>
      </fill>
      <border/>
    </dxf>
    <dxf>
      <font>
        <name val="Calibri"/>
        <color rgb="FF152A47"/>
        <sz val="10"/>
      </font>
      <fill>
        <patternFill patternType="solid">
          <fgColor rgb="FFEDE9FE"/>
          <bgColor rgb="FFEDE9FE"/>
        </patternFill>
      </fill>
      <border/>
    </dxf>
    <dxf>
      <font>
        <name val="Calibri"/>
        <color rgb="FF152A47"/>
        <sz val="10"/>
      </font>
      <fill>
        <patternFill patternType="solid">
          <fgColor rgb="FFFCE4DA"/>
          <bgColor rgb="FFFCE4DA"/>
        </patternFill>
      </fill>
      <border/>
    </dxf>
    <dxf>
      <font>
        <name val="Calibri"/>
        <color rgb="FF152A47"/>
        <sz val="10"/>
      </font>
      <fill>
        <patternFill patternType="solid">
          <fgColor rgb="FFF1F5F9"/>
          <bgColor rgb="FFF1F5F9"/>
        </patternFill>
      </fill>
      <border/>
    </dxf>
    <dxf>
      <font>
        <name val="Calibri"/>
        <color rgb="FF152A47"/>
        <sz val="10"/>
      </font>
      <fill>
        <patternFill patternType="solid">
          <fgColor rgb="FFDCFCE7"/>
          <bgColor rgb="FFDCFCE7"/>
        </patternFill>
      </fill>
      <border/>
    </dxf>
    <dxf>
      <font>
        <name val="Calibri"/>
        <b val="1"/>
        <color rgb="FFFFFFFF"/>
        <sz val="10"/>
      </font>
      <fill>
        <patternFill patternType="solid">
          <fgColor rgb="FF94A3B8"/>
          <bgColor rgb="FF94A3B8"/>
        </patternFill>
      </fill>
      <border/>
    </dxf>
    <dxf>
      <font>
        <name val="Calibri"/>
        <b val="1"/>
        <color rgb="FF152A47"/>
        <sz val="10"/>
      </font>
      <fill>
        <patternFill patternType="solid">
          <fgColor rgb="FFF59E0B"/>
          <bgColor rgb="FFF59E0B"/>
        </patternFill>
      </fill>
      <border/>
    </dxf>
    <dxf>
      <font>
        <name val="Calibri"/>
        <b val="1"/>
        <color rgb="FFFFFFFF"/>
        <sz val="10"/>
      </font>
      <fill>
        <patternFill patternType="solid">
          <fgColor rgb="FF1E3A5F"/>
          <bgColor rgb="FF1E3A5F"/>
        </patternFill>
      </fill>
      <border/>
    </dxf>
    <dxf>
      <font>
        <name val="Calibri"/>
        <b val="1"/>
        <color rgb="FFFFFFFF"/>
        <sz val="10"/>
      </font>
      <fill>
        <patternFill patternType="solid">
          <fgColor rgb="FF22C55E"/>
          <bgColor rgb="FF22C55E"/>
        </patternFill>
      </fill>
      <border/>
    </dxf>
    <dxf>
      <font>
        <name val="Calibri"/>
        <b val="1"/>
        <color rgb="FFFFFFFF"/>
        <sz val="10"/>
      </font>
      <fill>
        <patternFill patternType="solid">
          <fgColor rgb="FFEF4444"/>
          <bgColor rgb="FFEF4444"/>
        </patternFill>
      </fill>
      <border/>
    </dxf>
    <dxf>
      <font>
        <name val="Calibri"/>
        <b val="1"/>
        <color rgb="FFFFFFFF"/>
        <sz val="10"/>
      </font>
      <fill>
        <patternFill patternType="solid">
          <fgColor rgb="FF64748B"/>
          <bgColor rgb="FF64748B"/>
        </patternFill>
      </fill>
      <border/>
    </dxf>
    <dxf>
      <font>
        <name val="Calibri"/>
        <b val="1"/>
        <color rgb="FFEF4444"/>
        <sz val="10"/>
      </font>
      <fill>
        <patternFill patternType="solid">
          <fgColor rgb="FFFEE2E2"/>
          <bgColor rgb="FFFEE2E2"/>
        </patternFill>
      </fill>
      <border/>
    </dxf>
    <dxf>
      <font>
        <name val="Calibri"/>
        <b val="1"/>
        <color rgb="FFB45309"/>
        <sz val="10"/>
      </font>
      <fill>
        <patternFill patternType="solid">
          <fgColor rgb="FFFEF3C7"/>
          <bgColor rgb="FFFEF3C7"/>
        </patternFill>
      </fill>
      <border/>
    </dxf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  <border/>
    </dxf>
    <dxf>
      <font>
        <name val="Calibri"/>
        <b val="1"/>
        <color rgb="FF152A47"/>
        <sz val="10"/>
      </font>
      <fill>
        <patternFill patternType="solid">
          <fgColor rgb="FFD8F1EE"/>
          <bgColor rgb="FFD8F1EE"/>
        </patternFill>
      </fill>
      <border/>
    </dxf>
    <dxf>
      <font>
        <name val="Calibri"/>
        <b val="1"/>
        <color rgb="FF152A47"/>
        <sz val="10"/>
      </font>
      <fill>
        <patternFill patternType="solid">
          <fgColor rgb="FFDBEAFE"/>
          <bgColor rgb="FFDBEAFE"/>
        </patternFill>
      </fill>
      <border/>
    </dxf>
    <dxf>
      <font>
        <name val="Calibri"/>
        <b val="1"/>
        <color rgb="FF152A47"/>
        <sz val="10"/>
      </font>
      <fill>
        <patternFill patternType="solid">
          <fgColor rgb="FFFCE4DA"/>
          <bgColor rgb="FFFCE4DA"/>
        </patternFill>
      </fill>
      <border/>
    </dxf>
    <dxf>
      <font>
        <name val="Calibri"/>
        <b val="1"/>
        <color rgb="FF152A47"/>
        <sz val="10"/>
      </font>
      <fill>
        <patternFill patternType="solid">
          <fgColor rgb="FFFFF4D6"/>
          <bgColor rgb="FFFFF4D6"/>
        </patternFill>
      </fill>
      <border/>
    </dxf>
    <dxf>
      <font>
        <name val="Calibri"/>
        <b val="1"/>
        <color rgb="FF152A47"/>
        <sz val="10"/>
      </font>
      <fill>
        <patternFill patternType="solid">
          <fgColor rgb="FFF1F5F9"/>
          <bgColor rgb="FFF1F5F9"/>
        </patternFill>
      </fill>
      <border/>
    </dxf>
    <dxf>
      <font>
        <name val="Calibri"/>
        <strike val="1"/>
        <color rgb="FF94A3B8"/>
        <sz val="10"/>
      </font>
      <fill>
        <patternFill/>
      </fill>
      <border/>
    </dxf>
  </dxfs>
  <tableStyles count="1" defaultTableStyle="TableStyleMedium9" defaultPivotStyle="PivotStyleLight16">
    <tableStyle name="🔗 Resourc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1" displayName="Table1" ref="B6:G21" headerRowCount="1">
  <tableColumns count="6">
    <tableColumn id="1" name="#"/>
    <tableColumn id="2" name="Category"/>
    <tableColumn id="3" name="Name"/>
    <tableColumn id="4" name="URL / Link"/>
    <tableColumn id="5" name="PIC"/>
    <tableColumn id="6" name="Notes"/>
  </tableColumns>
  <tableStyleInfo name="🔗 Resourc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cientivan/monitoring-scoring-tracker.git" TargetMode="External" Id="rId1" /><Relationship Type="http://schemas.openxmlformats.org/officeDocument/2006/relationships/hyperlink" Target="https://docs.google.com/document/d/1_iM6dcyAtJbQsJyzbrjmjPJFQeTTWzt8ASOg6WygJKQ/edit?usp=sharing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scientivan/monitoring-scoring-tracker.git" TargetMode="External" Id="rId1" /><Relationship Type="http://schemas.openxmlformats.org/officeDocument/2006/relationships/hyperlink" Target="https://docs.google.com/spreadsheets/d/1dYoMiGBIqVrXWd6esfS5THe1Egtgf2ttCTguZedfpOU/edit?usp=sharing" TargetMode="External" Id="rId2" /><Relationship Type="http://schemas.openxmlformats.org/officeDocument/2006/relationships/hyperlink" Target="https://docs.google.com/document/d/1_iM6dcyAtJbQsJyzbrjmjPJFQeTTWzt8ASOg6WygJKQ/edit?usp=sharing" TargetMode="External" Id="rId3" /><Relationship Type="http://schemas.openxmlformats.org/officeDocument/2006/relationships/table" Target="/xl/tables/table1.xml" Id="rId4" /></Relationships>
</file>

<file path=xl/worksheets/sheet1.xml><?xml version="1.0" encoding="utf-8"?>
<worksheet xmlns="http://schemas.openxmlformats.org/spreadsheetml/2006/main">
  <sheetPr>
    <tabColor rgb="FF1E3A5F"/>
    <outlinePr summaryBelow="1" summaryRight="1"/>
    <pageSetUpPr/>
  </sheetPr>
  <dimension ref="B2:N36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177" min="1" max="1"/>
    <col width="13.43" customWidth="1" style="177" min="2" max="14"/>
    <col width="8.710000000000001" customWidth="1" style="177" min="15" max="26"/>
  </cols>
  <sheetData>
    <row r="2" ht="27.75" customHeight="1" s="177">
      <c r="B2" s="178" t="inlineStr">
        <is>
          <t>KELOMPOK SUNCOST — KALKULATOR PLTS ATAP</t>
        </is>
      </c>
    </row>
    <row r="3" ht="21.75" customHeight="1" s="177"/>
    <row r="4" ht="21.75" customHeight="1" s="177">
      <c r="B4" s="179" t="inlineStr">
        <is>
          <t>Sprint Tracker · Junior Project · Teknik Basis Data &amp; Pemrograman Berbasis Objek</t>
        </is>
      </c>
    </row>
    <row r="6">
      <c r="B6" s="180" t="inlineStr">
        <is>
          <t>PROJECT INFO</t>
        </is>
      </c>
      <c r="G6" s="180" t="inlineStr">
        <is>
          <t>LIVE KPI</t>
        </is>
      </c>
    </row>
    <row r="7" ht="21.75" customHeight="1" s="177">
      <c r="B7" s="105" t="inlineStr">
        <is>
          <t>Project Name</t>
        </is>
      </c>
      <c r="C7" s="37" t="inlineStr">
        <is>
          <t>SunCost — kalkulator kelayakan investasi PLTS atap</t>
        </is>
      </c>
      <c r="D7" s="37" t="n"/>
      <c r="E7" s="37" t="n"/>
      <c r="G7" s="181" t="inlineStr">
        <is>
          <t>Total Tasks</t>
        </is>
      </c>
      <c r="I7" s="182" t="inlineStr">
        <is>
          <t>Completed</t>
        </is>
      </c>
      <c r="K7" s="183" t="inlineStr">
        <is>
          <t>In Progress</t>
        </is>
      </c>
      <c r="M7" s="184" t="inlineStr">
        <is>
          <t>Blocked</t>
        </is>
      </c>
    </row>
    <row r="8" ht="30" customHeight="1" s="177">
      <c r="B8" s="105" t="inlineStr">
        <is>
          <t>Period</t>
        </is>
      </c>
      <c r="C8" s="37" t="inlineStr">
        <is>
          <t>7 September — 11 Oktober 2026 (5 weeks)</t>
        </is>
      </c>
      <c r="D8" s="185" t="n"/>
      <c r="E8" s="186" t="n"/>
      <c r="G8" s="187">
        <f>COUNTA('📋 Task Tracker'!$D$11:$D$212)</f>
        <v/>
      </c>
      <c r="H8" s="188" t="n"/>
      <c r="I8" s="189">
        <f>COUNTIF('📋 Task Tracker'!$I$11:$I$212,"Done")</f>
        <v/>
      </c>
      <c r="J8" s="190" t="n"/>
      <c r="K8" s="191">
        <f>COUNTIF('📋 Task Tracker'!$I$11:$I$212,"In Progress")</f>
        <v/>
      </c>
      <c r="L8" s="192" t="n"/>
      <c r="M8" s="193">
        <f>COUNTIF('📋 Task Tracker'!$I$11:$I$212,"Blocked")</f>
        <v/>
      </c>
      <c r="N8" s="194" t="n"/>
    </row>
    <row r="9" ht="21.75" customHeight="1" s="177">
      <c r="B9" s="105" t="inlineStr">
        <is>
          <t>Team Size</t>
        </is>
      </c>
      <c r="C9" s="37" t="n">
        <v>3</v>
      </c>
      <c r="D9" s="185" t="n"/>
      <c r="E9" s="186" t="n"/>
      <c r="G9" s="195" t="n"/>
      <c r="I9" s="196" t="n"/>
      <c r="K9" s="197" t="n"/>
      <c r="M9" s="198" t="n"/>
    </row>
    <row r="10" ht="21.75" customHeight="1" s="177">
      <c r="B10" s="105" t="inlineStr">
        <is>
          <t>Kategori</t>
        </is>
      </c>
      <c r="C10" s="37" t="inlineStr">
        <is>
          <t>Climate Action — energi terbarukan</t>
        </is>
      </c>
      <c r="D10" s="185" t="n"/>
      <c r="E10" s="186" t="n"/>
    </row>
    <row r="11" ht="21.75" customHeight="1" s="177">
      <c r="B11" s="105" t="inlineStr">
        <is>
          <t>Architecture</t>
        </is>
      </c>
      <c r="C11" s="37" t="inlineStr">
        <is>
          <t>Desktop MVVM — C# WPF (.NET 8) + SQLite lokal + API Open-Meteo</t>
        </is>
      </c>
      <c r="D11" s="185" t="n"/>
      <c r="E11" s="186" t="n"/>
      <c r="G11" s="199" t="inlineStr">
        <is>
          <t>OVERALL COMPLETION</t>
        </is>
      </c>
    </row>
    <row r="12" ht="37.5" customHeight="1" s="177">
      <c r="B12" s="105" t="inlineStr">
        <is>
          <t>Repository</t>
        </is>
      </c>
      <c r="C12" s="200" t="inlineStr">
        <is>
          <t>https://github.com/Yeypayeyy/22_SunCost</t>
        </is>
      </c>
      <c r="D12" s="185" t="n"/>
      <c r="E12" s="186" t="n"/>
      <c r="G12" s="201">
        <f>IFERROR(COUNTIF('📋 Task Tracker'!$I$11:$I$212,"Done")/COUNTA('📋 Task Tracker'!$D$11:$D$212),0)</f>
        <v/>
      </c>
      <c r="H12" s="202" t="n"/>
      <c r="I12" s="202" t="n"/>
      <c r="J12" s="202" t="n"/>
      <c r="K12" s="202" t="n"/>
      <c r="L12" s="202" t="n"/>
      <c r="M12" s="202" t="n"/>
      <c r="N12" s="202" t="n"/>
    </row>
    <row r="13">
      <c r="B13" s="105" t="inlineStr">
        <is>
          <t>Mockup UI</t>
        </is>
      </c>
      <c r="C13" s="200" t="inlineStr">
        <is>
          <t>https://www.figma.com/design/eZ7u3wVkggATG2xYOc4SmW/</t>
        </is>
      </c>
      <c r="D13" s="185" t="n"/>
      <c r="E13" s="186" t="n"/>
    </row>
    <row r="14">
      <c r="B14" s="105" t="inlineStr">
        <is>
          <t>Metode inti</t>
        </is>
      </c>
      <c r="C14" s="37" t="inlineStr">
        <is>
          <t>Energi tahunan = kWp × PSH × PR × 365, koreksi suhu 0,4%/°C</t>
        </is>
      </c>
      <c r="D14" s="185" t="n"/>
      <c r="E14" s="186" t="n"/>
    </row>
    <row r="16">
      <c r="B16" s="180" t="inlineStr">
        <is>
          <t>SPRINT OVERVIEW</t>
        </is>
      </c>
    </row>
    <row r="18" ht="24" customHeight="1" s="177">
      <c r="B18" s="203" t="inlineStr">
        <is>
          <t>SPRINT 1</t>
        </is>
      </c>
      <c r="D18" s="204" t="inlineStr">
        <is>
          <t>SPRINT 2</t>
        </is>
      </c>
      <c r="F18" s="205" t="inlineStr">
        <is>
          <t>SPRINT 3</t>
        </is>
      </c>
      <c r="H18" s="206" t="inlineStr">
        <is>
          <t>SPRINT 4</t>
        </is>
      </c>
      <c r="J18" s="207" t="inlineStr">
        <is>
          <t>SPRINT 5</t>
        </is>
      </c>
    </row>
    <row r="19" ht="18" customHeight="1" s="177">
      <c r="B19" s="208" t="inlineStr">
        <is>
          <t>1 — 13 Sep</t>
        </is>
      </c>
      <c r="D19" s="208" t="inlineStr">
        <is>
          <t>14 — 20 Sep</t>
        </is>
      </c>
      <c r="F19" s="208" t="inlineStr">
        <is>
          <t>21 — 27 Sep</t>
        </is>
      </c>
      <c r="H19" s="208" t="inlineStr">
        <is>
          <t>28 Sep — 4 Okt</t>
        </is>
      </c>
      <c r="J19" s="208" t="inlineStr">
        <is>
          <t>5 — 11 Okt</t>
        </is>
      </c>
      <c r="L19" s="119" t="inlineStr">
        <is>
          <t>&lt;- ikuti jadwal asistensi lab</t>
        </is>
      </c>
    </row>
    <row r="20" ht="18" customHeight="1" s="177">
      <c r="B20" s="209" t="inlineStr">
        <is>
          <t>FONDASI</t>
        </is>
      </c>
      <c r="D20" s="210" t="inlineStr">
        <is>
          <t>KALKULATOR</t>
        </is>
      </c>
      <c r="F20" s="211" t="inlineStr">
        <is>
          <t>HASIL</t>
        </is>
      </c>
      <c r="H20" s="212" t="inlineStr">
        <is>
          <t>BASIS DATA</t>
        </is>
      </c>
      <c r="J20" s="213" t="inlineStr">
        <is>
          <t>POLES &amp; DEMO</t>
        </is>
      </c>
    </row>
    <row r="21" ht="21.75" customHeight="1" s="177">
      <c r="B21" s="214" t="inlineStr">
        <is>
          <t>Repo, project WPF, design system, skema DB</t>
        </is>
      </c>
      <c r="D21" s="214" t="inlineStr">
        <is>
          <t>API cuaca + mesin perhitungan energi</t>
        </is>
      </c>
      <c r="F21" s="214" t="inlineStr">
        <is>
          <t>Finansial, lingkungan, visualisasi</t>
        </is>
      </c>
      <c r="H21" s="214" t="inlineStr">
        <is>
          <t>SQLite, riwayat, banding skenario</t>
        </is>
      </c>
      <c r="J21" s="214" t="inlineStr">
        <is>
          <t>Bug fix, dokumentasi, demo</t>
        </is>
      </c>
    </row>
    <row r="22" ht="21.75" customHeight="1" s="177"/>
    <row r="23" ht="30" customHeight="1" s="177">
      <c r="B23" s="215">
        <f>IFERROR(COUNTIFS('📋 Task Tracker'!$G$11:$G$212,"Sprint 1",'📋 Task Tracker'!$I$11:$I$212,"Done")/COUNTIF('📋 Task Tracker'!$G$11:$G$212,"Sprint 1"),0)</f>
        <v/>
      </c>
      <c r="D23" s="216">
        <f>IFERROR(COUNTIFS('📋 Task Tracker'!$G$11:$G$212,"Sprint 2",'📋 Task Tracker'!$I$11:$I$212,"Done")/COUNTIF('📋 Task Tracker'!$G$11:$G$212,"Sprint 2"),0)</f>
        <v/>
      </c>
      <c r="F23" s="217">
        <f>IFERROR(COUNTIFS('📋 Task Tracker'!$G$11:$G$212,"Sprint 3",'📋 Task Tracker'!$I$11:$I$212,"Done")/COUNTIF('📋 Task Tracker'!$G$11:$G$212,"Sprint 3"),0)</f>
        <v/>
      </c>
      <c r="H23" s="218">
        <f>IFERROR(COUNTIFS('📋 Task Tracker'!$G$11:$G$212,"Sprint 4",'📋 Task Tracker'!$I$11:$I$212,"Done")/COUNTIF('📋 Task Tracker'!$G$11:$G$212,"Sprint 4"),0)</f>
        <v/>
      </c>
      <c r="J23" s="219">
        <f>IFERROR(COUNTIFS('📋 Task Tracker'!$G$11:$G$212,"Sprint 5",'📋 Task Tracker'!$I$11:$I$212,"Done")/COUNTIF('📋 Task Tracker'!$G$11:$G$212,"Sprint 5"),0)</f>
        <v/>
      </c>
    </row>
    <row r="24" ht="15.75" customHeight="1" s="177"/>
    <row r="25" ht="15.75" customHeight="1" s="177"/>
    <row r="26" ht="15.75" customHeight="1" s="177">
      <c r="B26" s="180" t="inlineStr">
        <is>
          <t>STATUS LEGEND</t>
        </is>
      </c>
    </row>
    <row r="27" ht="15.75" customHeight="1" s="177"/>
    <row r="28" ht="21.75" customHeight="1" s="177">
      <c r="B28" s="220" t="inlineStr">
        <is>
          <t>Not Started</t>
        </is>
      </c>
      <c r="C28" s="185" t="n"/>
      <c r="D28" s="221" t="inlineStr">
        <is>
          <t>In Progress</t>
        </is>
      </c>
      <c r="E28" s="185" t="n"/>
      <c r="F28" s="222" t="inlineStr">
        <is>
          <t>In Review</t>
        </is>
      </c>
      <c r="G28" s="185" t="n"/>
      <c r="H28" s="223" t="inlineStr">
        <is>
          <t>Done</t>
        </is>
      </c>
      <c r="I28" s="185" t="n"/>
      <c r="J28" s="224" t="inlineStr">
        <is>
          <t>Blocked</t>
        </is>
      </c>
      <c r="K28" s="185" t="n"/>
      <c r="L28" s="225" t="inlineStr">
        <is>
          <t>Cancelled</t>
        </is>
      </c>
      <c r="M28" s="185" t="n"/>
    </row>
    <row r="29" ht="15.75" customHeight="1" s="177"/>
    <row r="30" ht="15.75" customHeight="1" s="177">
      <c r="B30" s="180" t="inlineStr">
        <is>
          <t>QUICK NOTES &amp; ANNOUNCEMENTS</t>
        </is>
      </c>
    </row>
    <row r="31" ht="18" customHeight="1" s="177">
      <c r="B31" s="226" t="inlineStr">
        <is>
          <t>• Tracking cukup di spreadsheet ini, tidak pakai tool lain.
• S2.3 (rumus energi) dan S4.1 (SQLite) dependensi kritis — telat di sini menggeser sprint berikutnya.
• Hasil perhitungan wajib diuji silang ke PVGIS sebelum masuk sprint 3.
• Risiko terbesar: aplikasi tidak jalan di laptop lain saat demo — diuji di S5.4, jangan ditunda.</t>
        </is>
      </c>
      <c r="C31" s="227" t="n"/>
      <c r="D31" s="227" t="n"/>
      <c r="E31" s="227" t="n"/>
      <c r="F31" s="227" t="n"/>
      <c r="G31" s="227" t="n"/>
      <c r="H31" s="227" t="n"/>
      <c r="I31" s="227" t="n"/>
      <c r="J31" s="227" t="n"/>
      <c r="K31" s="227" t="n"/>
      <c r="L31" s="227" t="n"/>
      <c r="M31" s="227" t="n"/>
    </row>
    <row r="32" ht="18" customHeight="1" s="177">
      <c r="B32" s="228" t="n"/>
    </row>
    <row r="33" ht="18" customHeight="1" s="177">
      <c r="B33" s="228" t="n"/>
    </row>
    <row r="34" ht="18" customHeight="1" s="177">
      <c r="B34" s="228" t="n"/>
    </row>
    <row r="35" ht="18" customHeight="1" s="177">
      <c r="B35" s="228" t="n"/>
    </row>
    <row r="36" ht="18" customHeight="1" s="177">
      <c r="B36" s="228" t="n"/>
    </row>
    <row r="37" ht="15.75" customHeight="1" s="177"/>
    <row r="38" ht="15.75" customHeight="1" s="177"/>
    <row r="39" ht="15.75" customHeight="1" s="177"/>
    <row r="40" ht="15.75" customHeight="1" s="177"/>
    <row r="41" ht="15.75" customHeight="1" s="177"/>
    <row r="42" ht="15.75" customHeight="1" s="177"/>
    <row r="43" ht="15.75" customHeight="1" s="177"/>
    <row r="44" ht="15.75" customHeight="1" s="177"/>
    <row r="45" ht="15.75" customHeight="1" s="177"/>
    <row r="46" ht="15.75" customHeight="1" s="177"/>
    <row r="47" ht="15.75" customHeight="1" s="177"/>
    <row r="48" ht="15.75" customHeight="1" s="177"/>
    <row r="49" ht="15.75" customHeight="1" s="177"/>
    <row r="50" ht="15.75" customHeight="1" s="177"/>
    <row r="51" ht="15.75" customHeight="1" s="177"/>
    <row r="52" ht="15.75" customHeight="1" s="177"/>
    <row r="53" ht="15.75" customHeight="1" s="177"/>
    <row r="54" ht="15.75" customHeight="1" s="177"/>
    <row r="55" ht="15.75" customHeight="1" s="177"/>
    <row r="56" ht="15.75" customHeight="1" s="177"/>
    <row r="57" ht="15.75" customHeight="1" s="177"/>
    <row r="58" ht="15.75" customHeight="1" s="177"/>
    <row r="59" ht="15.75" customHeight="1" s="177"/>
    <row r="60" ht="15.75" customHeight="1" s="177"/>
    <row r="61" ht="15.75" customHeight="1" s="177"/>
    <row r="62" ht="15.75" customHeight="1" s="177"/>
    <row r="63" ht="15.75" customHeight="1" s="177"/>
    <row r="64" ht="15.75" customHeight="1" s="177"/>
    <row r="65" ht="15.75" customHeight="1" s="177"/>
    <row r="66" ht="15.75" customHeight="1" s="177"/>
    <row r="67" ht="15.75" customHeight="1" s="177"/>
    <row r="68" ht="15.75" customHeight="1" s="177"/>
    <row r="69" ht="15.75" customHeight="1" s="177"/>
    <row r="70" ht="15.75" customHeight="1" s="177"/>
    <row r="71" ht="15.75" customHeight="1" s="177"/>
    <row r="72" ht="15.75" customHeight="1" s="177"/>
    <row r="73" ht="15.75" customHeight="1" s="177"/>
    <row r="74" ht="15.75" customHeight="1" s="177"/>
    <row r="75" ht="15.75" customHeight="1" s="177"/>
    <row r="76" ht="15.75" customHeight="1" s="177"/>
    <row r="77" ht="15.75" customHeight="1" s="177"/>
    <row r="78" ht="15.75" customHeight="1" s="177"/>
    <row r="79" ht="15.75" customHeight="1" s="177"/>
    <row r="80" ht="15.75" customHeight="1" s="177"/>
    <row r="81" ht="15.75" customHeight="1" s="177"/>
    <row r="82" ht="15.75" customHeight="1" s="177"/>
    <row r="83" ht="15.75" customHeight="1" s="177"/>
    <row r="84" ht="15.75" customHeight="1" s="177"/>
    <row r="85" ht="15.75" customHeight="1" s="177"/>
    <row r="86" ht="15.75" customHeight="1" s="177"/>
    <row r="87" ht="15.75" customHeight="1" s="177"/>
    <row r="88" ht="15.75" customHeight="1" s="177"/>
    <row r="89" ht="15.75" customHeight="1" s="177"/>
    <row r="90" ht="15.75" customHeight="1" s="177"/>
    <row r="91" ht="15.75" customHeight="1" s="177"/>
    <row r="92" ht="15.75" customHeight="1" s="177"/>
    <row r="93" ht="15.75" customHeight="1" s="177"/>
    <row r="94" ht="15.75" customHeight="1" s="177"/>
    <row r="95" ht="15.75" customHeight="1" s="177"/>
    <row r="96" ht="15.75" customHeight="1" s="177"/>
    <row r="97" ht="15.75" customHeight="1" s="177"/>
    <row r="98" ht="15.75" customHeight="1" s="177"/>
    <row r="99" ht="15.75" customHeight="1" s="177"/>
    <row r="100" ht="15.75" customHeight="1" s="177"/>
    <row r="101" ht="15.75" customHeight="1" s="177"/>
    <row r="102" ht="15.75" customHeight="1" s="177"/>
    <row r="103" ht="15.75" customHeight="1" s="177"/>
    <row r="104" ht="15.75" customHeight="1" s="177"/>
    <row r="105" ht="15.75" customHeight="1" s="177"/>
    <row r="106" ht="15.75" customHeight="1" s="177"/>
    <row r="107" ht="15.75" customHeight="1" s="177"/>
    <row r="108" ht="15.75" customHeight="1" s="177"/>
    <row r="109" ht="15.75" customHeight="1" s="177"/>
    <row r="110" ht="15.75" customHeight="1" s="177"/>
    <row r="111" ht="15.75" customHeight="1" s="177"/>
    <row r="112" ht="15.75" customHeight="1" s="177"/>
    <row r="113" ht="15.75" customHeight="1" s="177"/>
    <row r="114" ht="15.75" customHeight="1" s="177"/>
    <row r="115" ht="15.75" customHeight="1" s="177"/>
    <row r="116" ht="15.75" customHeight="1" s="177"/>
    <row r="117" ht="15.75" customHeight="1" s="177"/>
    <row r="118" ht="15.75" customHeight="1" s="177"/>
    <row r="119" ht="15.75" customHeight="1" s="177"/>
    <row r="120" ht="15.75" customHeight="1" s="177"/>
    <row r="121" ht="15.75" customHeight="1" s="177"/>
    <row r="122" ht="15.75" customHeight="1" s="177"/>
    <row r="123" ht="15.75" customHeight="1" s="177"/>
    <row r="124" ht="15.75" customHeight="1" s="177"/>
    <row r="125" ht="15.75" customHeight="1" s="177"/>
    <row r="126" ht="15.75" customHeight="1" s="177"/>
    <row r="127" ht="15.75" customHeight="1" s="177"/>
    <row r="128" ht="15.75" customHeight="1" s="177"/>
    <row r="129" ht="15.75" customHeight="1" s="177"/>
    <row r="130" ht="15.75" customHeight="1" s="177"/>
    <row r="131" ht="15.75" customHeight="1" s="177"/>
    <row r="132" ht="15.75" customHeight="1" s="177"/>
    <row r="133" ht="15.75" customHeight="1" s="177"/>
    <row r="134" ht="15.75" customHeight="1" s="177"/>
    <row r="135" ht="15.75" customHeight="1" s="177"/>
    <row r="136" ht="15.75" customHeight="1" s="177"/>
    <row r="137" ht="15.75" customHeight="1" s="177"/>
    <row r="138" ht="15.75" customHeight="1" s="177"/>
    <row r="139" ht="15.75" customHeight="1" s="177"/>
    <row r="140" ht="15.75" customHeight="1" s="177"/>
    <row r="141" ht="15.75" customHeight="1" s="177"/>
    <row r="142" ht="15.75" customHeight="1" s="177"/>
    <row r="143" ht="15.75" customHeight="1" s="177"/>
    <row r="144" ht="15.75" customHeight="1" s="177"/>
    <row r="145" ht="15.75" customHeight="1" s="177"/>
    <row r="146" ht="15.75" customHeight="1" s="177"/>
    <row r="147" ht="15.75" customHeight="1" s="177"/>
    <row r="148" ht="15.75" customHeight="1" s="177"/>
    <row r="149" ht="15.75" customHeight="1" s="177"/>
    <row r="150" ht="15.75" customHeight="1" s="177"/>
    <row r="151" ht="15.75" customHeight="1" s="177"/>
    <row r="152" ht="15.75" customHeight="1" s="177"/>
    <row r="153" ht="15.75" customHeight="1" s="177"/>
    <row r="154" ht="15.75" customHeight="1" s="177"/>
    <row r="155" ht="15.75" customHeight="1" s="177"/>
    <row r="156" ht="15.75" customHeight="1" s="177"/>
    <row r="157" ht="15.75" customHeight="1" s="177"/>
    <row r="158" ht="15.75" customHeight="1" s="177"/>
    <row r="159" ht="15.75" customHeight="1" s="177"/>
    <row r="160" ht="15.75" customHeight="1" s="177"/>
    <row r="161" ht="15.75" customHeight="1" s="177"/>
    <row r="162" ht="15.75" customHeight="1" s="177"/>
    <row r="163" ht="15.75" customHeight="1" s="177"/>
    <row r="164" ht="15.75" customHeight="1" s="177"/>
    <row r="165" ht="15.75" customHeight="1" s="177"/>
    <row r="166" ht="15.75" customHeight="1" s="177"/>
    <row r="167" ht="15.75" customHeight="1" s="177"/>
    <row r="168" ht="15.75" customHeight="1" s="177"/>
    <row r="169" ht="15.75" customHeight="1" s="177"/>
    <row r="170" ht="15.75" customHeight="1" s="177"/>
    <row r="171" ht="15.75" customHeight="1" s="177"/>
    <row r="172" ht="15.75" customHeight="1" s="177"/>
    <row r="173" ht="15.75" customHeight="1" s="177"/>
    <row r="174" ht="15.75" customHeight="1" s="177"/>
    <row r="175" ht="15.75" customHeight="1" s="177"/>
    <row r="176" ht="15.75" customHeight="1" s="177"/>
    <row r="177" ht="15.75" customHeight="1" s="177"/>
    <row r="178" ht="15.75" customHeight="1" s="177"/>
    <row r="179" ht="15.75" customHeight="1" s="177"/>
    <row r="180" ht="15.75" customHeight="1" s="177"/>
    <row r="181" ht="15.75" customHeight="1" s="177"/>
    <row r="182" ht="15.75" customHeight="1" s="177"/>
    <row r="183" ht="15.75" customHeight="1" s="177"/>
    <row r="184" ht="15.75" customHeight="1" s="177"/>
    <row r="185" ht="15.75" customHeight="1" s="177"/>
    <row r="186" ht="15.75" customHeight="1" s="177"/>
    <row r="187" ht="15.75" customHeight="1" s="177"/>
    <row r="188" ht="15.75" customHeight="1" s="177"/>
    <row r="189" ht="15.75" customHeight="1" s="177"/>
    <row r="190" ht="15.75" customHeight="1" s="177"/>
    <row r="191" ht="15.75" customHeight="1" s="177"/>
    <row r="192" ht="15.75" customHeight="1" s="177"/>
    <row r="193" ht="15.75" customHeight="1" s="177"/>
    <row r="194" ht="15.75" customHeight="1" s="177"/>
    <row r="195" ht="15.75" customHeight="1" s="177"/>
    <row r="196" ht="15.75" customHeight="1" s="177"/>
    <row r="197" ht="15.75" customHeight="1" s="177"/>
    <row r="198" ht="15.75" customHeight="1" s="177"/>
    <row r="199" ht="15.75" customHeight="1" s="177"/>
    <row r="200" ht="15.75" customHeight="1" s="177"/>
    <row r="201" ht="15.75" customHeight="1" s="177"/>
    <row r="202" ht="15.75" customHeight="1" s="177"/>
    <row r="203" ht="15.75" customHeight="1" s="177"/>
    <row r="204" ht="15.75" customHeight="1" s="177"/>
    <row r="205" ht="15.75" customHeight="1" s="177"/>
    <row r="206" ht="15.75" customHeight="1" s="177"/>
    <row r="207" ht="15.75" customHeight="1" s="177"/>
    <row r="208" ht="15.75" customHeight="1" s="177"/>
    <row r="209" ht="15.75" customHeight="1" s="177"/>
    <row r="210" ht="15.75" customHeight="1" s="177"/>
    <row r="211" ht="15.75" customHeight="1" s="177"/>
    <row r="212" ht="15.75" customHeight="1" s="177"/>
    <row r="213" ht="15.75" customHeight="1" s="177"/>
    <row r="214" ht="15.75" customHeight="1" s="177"/>
    <row r="215" ht="15.75" customHeight="1" s="177"/>
    <row r="216" ht="15.75" customHeight="1" s="177"/>
    <row r="217" ht="15.75" customHeight="1" s="177"/>
    <row r="218" ht="15.75" customHeight="1" s="177"/>
    <row r="219" ht="15.75" customHeight="1" s="177"/>
    <row r="220" ht="15.75" customHeight="1" s="177"/>
    <row r="221" ht="15.75" customHeight="1" s="177"/>
    <row r="222" ht="15.75" customHeight="1" s="177"/>
    <row r="223" ht="15.75" customHeight="1" s="177"/>
    <row r="224" ht="15.75" customHeight="1" s="177"/>
    <row r="225" ht="15.75" customHeight="1" s="177"/>
    <row r="226" ht="15.75" customHeight="1" s="177"/>
    <row r="227" ht="15.75" customHeight="1" s="177"/>
    <row r="228" ht="15.75" customHeight="1" s="177"/>
    <row r="229" ht="15.75" customHeight="1" s="177"/>
    <row r="230" ht="15.75" customHeight="1" s="177"/>
    <row r="231" ht="15.75" customHeight="1" s="177"/>
    <row r="232" ht="15.75" customHeight="1" s="177"/>
    <row r="233" ht="15.75" customHeight="1" s="177"/>
    <row r="234" ht="15.75" customHeight="1" s="177"/>
    <row r="235" ht="15.75" customHeight="1" s="177"/>
    <row r="236" ht="15.75" customHeight="1" s="177"/>
    <row r="237" ht="15.75" customHeight="1" s="177"/>
    <row r="238" ht="15.75" customHeight="1" s="177"/>
    <row r="239" ht="15.75" customHeight="1" s="177"/>
    <row r="240" ht="15.75" customHeight="1" s="177"/>
    <row r="241" ht="15.75" customHeight="1" s="177"/>
    <row r="242" ht="15.75" customHeight="1" s="177"/>
    <row r="243" ht="15.75" customHeight="1" s="177"/>
    <row r="244" ht="15.75" customHeight="1" s="177"/>
    <row r="245" ht="15.75" customHeight="1" s="177"/>
    <row r="246" ht="15.75" customHeight="1" s="177"/>
    <row r="247" ht="15.75" customHeight="1" s="177"/>
    <row r="248" ht="15.75" customHeight="1" s="177"/>
    <row r="249" ht="15.75" customHeight="1" s="177"/>
    <row r="250" ht="15.75" customHeight="1" s="177"/>
    <row r="251" ht="15.75" customHeight="1" s="177"/>
    <row r="252" ht="15.75" customHeight="1" s="177"/>
    <row r="253" ht="15.75" customHeight="1" s="177"/>
    <row r="254" ht="15.75" customHeight="1" s="177"/>
    <row r="255" ht="15.75" customHeight="1" s="177"/>
    <row r="256" ht="15.75" customHeight="1" s="177"/>
    <row r="257" ht="15.75" customHeight="1" s="177"/>
    <row r="258" ht="15.75" customHeight="1" s="177"/>
    <row r="259" ht="15.75" customHeight="1" s="177"/>
    <row r="260" ht="15.75" customHeight="1" s="177"/>
    <row r="261" ht="15.75" customHeight="1" s="177"/>
    <row r="262" ht="15.75" customHeight="1" s="177"/>
    <row r="263" ht="15.75" customHeight="1" s="177"/>
    <row r="264" ht="15.75" customHeight="1" s="177"/>
    <row r="265" ht="15.75" customHeight="1" s="177"/>
    <row r="266" ht="15.75" customHeight="1" s="177"/>
    <row r="267" ht="15.75" customHeight="1" s="177"/>
    <row r="268" ht="15.75" customHeight="1" s="177"/>
    <row r="269" ht="15.75" customHeight="1" s="177"/>
    <row r="270" ht="15.75" customHeight="1" s="177"/>
    <row r="271" ht="15.75" customHeight="1" s="177"/>
    <row r="272" ht="15.75" customHeight="1" s="177"/>
    <row r="273" ht="15.75" customHeight="1" s="177"/>
    <row r="274" ht="15.75" customHeight="1" s="177"/>
    <row r="275" ht="15.75" customHeight="1" s="177"/>
    <row r="276" ht="15.75" customHeight="1" s="177"/>
    <row r="277" ht="15.75" customHeight="1" s="177"/>
    <row r="278" ht="15.75" customHeight="1" s="177"/>
    <row r="279" ht="15.75" customHeight="1" s="177"/>
    <row r="280" ht="15.75" customHeight="1" s="177"/>
    <row r="281" ht="15.75" customHeight="1" s="177"/>
    <row r="282" ht="15.75" customHeight="1" s="177"/>
    <row r="283" ht="15.75" customHeight="1" s="177"/>
    <row r="284" ht="15.75" customHeight="1" s="177"/>
    <row r="285" ht="15.75" customHeight="1" s="177"/>
    <row r="286" ht="15.75" customHeight="1" s="177"/>
    <row r="287" ht="15.75" customHeight="1" s="177"/>
    <row r="288" ht="15.75" customHeight="1" s="177"/>
    <row r="289" ht="15.75" customHeight="1" s="177"/>
    <row r="290" ht="15.75" customHeight="1" s="177"/>
    <row r="291" ht="15.75" customHeight="1" s="177"/>
    <row r="292" ht="15.75" customHeight="1" s="177"/>
    <row r="293" ht="15.75" customHeight="1" s="177"/>
    <row r="294" ht="15.75" customHeight="1" s="177"/>
    <row r="295" ht="15.75" customHeight="1" s="177"/>
    <row r="296" ht="15.75" customHeight="1" s="177"/>
    <row r="297" ht="15.75" customHeight="1" s="177"/>
    <row r="298" ht="15.75" customHeight="1" s="177"/>
    <row r="299" ht="15.75" customHeight="1" s="177"/>
    <row r="300" ht="15.75" customHeight="1" s="177"/>
    <row r="301" ht="15.75" customHeight="1" s="177"/>
    <row r="302" ht="15.75" customHeight="1" s="177"/>
    <row r="303" ht="15.75" customHeight="1" s="177"/>
    <row r="304" ht="15.75" customHeight="1" s="177"/>
    <row r="305" ht="15.75" customHeight="1" s="177"/>
    <row r="306" ht="15.75" customHeight="1" s="177"/>
    <row r="307" ht="15.75" customHeight="1" s="177"/>
    <row r="308" ht="15.75" customHeight="1" s="177"/>
    <row r="309" ht="15.75" customHeight="1" s="177"/>
    <row r="310" ht="15.75" customHeight="1" s="177"/>
    <row r="311" ht="15.75" customHeight="1" s="177"/>
    <row r="312" ht="15.75" customHeight="1" s="177"/>
    <row r="313" ht="15.75" customHeight="1" s="177"/>
    <row r="314" ht="15.75" customHeight="1" s="177"/>
    <row r="315" ht="15.75" customHeight="1" s="177"/>
    <row r="316" ht="15.75" customHeight="1" s="177"/>
    <row r="317" ht="15.75" customHeight="1" s="177"/>
    <row r="318" ht="15.75" customHeight="1" s="177"/>
    <row r="319" ht="15.75" customHeight="1" s="177"/>
    <row r="320" ht="15.75" customHeight="1" s="177"/>
    <row r="321" ht="15.75" customHeight="1" s="177"/>
    <row r="322" ht="15.75" customHeight="1" s="177"/>
    <row r="323" ht="15.75" customHeight="1" s="177"/>
    <row r="324" ht="15.75" customHeight="1" s="177"/>
    <row r="325" ht="15.75" customHeight="1" s="177"/>
    <row r="326" ht="15.75" customHeight="1" s="177"/>
    <row r="327" ht="15.75" customHeight="1" s="177"/>
    <row r="328" ht="15.75" customHeight="1" s="177"/>
    <row r="329" ht="15.75" customHeight="1" s="177"/>
    <row r="330" ht="15.75" customHeight="1" s="177"/>
    <row r="331" ht="15.75" customHeight="1" s="177"/>
    <row r="332" ht="15.75" customHeight="1" s="177"/>
    <row r="333" ht="15.75" customHeight="1" s="177"/>
    <row r="334" ht="15.75" customHeight="1" s="177"/>
    <row r="335" ht="15.75" customHeight="1" s="177"/>
    <row r="336" ht="15.75" customHeight="1" s="177"/>
    <row r="337" ht="15.75" customHeight="1" s="177"/>
    <row r="338" ht="15.75" customHeight="1" s="177"/>
    <row r="339" ht="15.75" customHeight="1" s="177"/>
    <row r="340" ht="15.75" customHeight="1" s="177"/>
    <row r="341" ht="15.75" customHeight="1" s="177"/>
    <row r="342" ht="15.75" customHeight="1" s="177"/>
    <row r="343" ht="15.75" customHeight="1" s="177"/>
    <row r="344" ht="15.75" customHeight="1" s="177"/>
    <row r="345" ht="15.75" customHeight="1" s="177"/>
    <row r="346" ht="15.75" customHeight="1" s="177"/>
    <row r="347" ht="15.75" customHeight="1" s="177"/>
    <row r="348" ht="15.75" customHeight="1" s="177"/>
    <row r="349" ht="15.75" customHeight="1" s="177"/>
    <row r="350" ht="15.75" customHeight="1" s="177"/>
    <row r="351" ht="15.75" customHeight="1" s="177"/>
    <row r="352" ht="15.75" customHeight="1" s="177"/>
    <row r="353" ht="15.75" customHeight="1" s="177"/>
    <row r="354" ht="15.75" customHeight="1" s="177"/>
    <row r="355" ht="15.75" customHeight="1" s="177"/>
    <row r="356" ht="15.75" customHeight="1" s="177"/>
    <row r="357" ht="15.75" customHeight="1" s="177"/>
    <row r="358" ht="15.75" customHeight="1" s="177"/>
    <row r="359" ht="15.75" customHeight="1" s="177"/>
    <row r="360" ht="15.75" customHeight="1" s="177"/>
    <row r="361" ht="15.75" customHeight="1" s="177"/>
    <row r="362" ht="15.75" customHeight="1" s="177"/>
    <row r="363" ht="15.75" customHeight="1" s="177"/>
    <row r="364" ht="15.75" customHeight="1" s="177"/>
    <row r="365" ht="15.75" customHeight="1" s="177"/>
    <row r="366" ht="15.75" customHeight="1" s="177"/>
    <row r="367" ht="15.75" customHeight="1" s="177"/>
    <row r="368" ht="15.75" customHeight="1" s="177"/>
    <row r="369" ht="15.75" customHeight="1" s="177"/>
    <row r="370" ht="15.75" customHeight="1" s="177"/>
    <row r="371" ht="15.75" customHeight="1" s="177"/>
    <row r="372" ht="15.75" customHeight="1" s="177"/>
    <row r="373" ht="15.75" customHeight="1" s="177"/>
    <row r="374" ht="15.75" customHeight="1" s="177"/>
    <row r="375" ht="15.75" customHeight="1" s="177"/>
    <row r="376" ht="15.75" customHeight="1" s="177"/>
    <row r="377" ht="15.75" customHeight="1" s="177"/>
    <row r="378" ht="15.75" customHeight="1" s="177"/>
    <row r="379" ht="15.75" customHeight="1" s="177"/>
    <row r="380" ht="15.75" customHeight="1" s="177"/>
    <row r="381" ht="15.75" customHeight="1" s="177"/>
    <row r="382" ht="15.75" customHeight="1" s="177"/>
    <row r="383" ht="15.75" customHeight="1" s="177"/>
    <row r="384" ht="15.75" customHeight="1" s="177"/>
    <row r="385" ht="15.75" customHeight="1" s="177"/>
    <row r="386" ht="15.75" customHeight="1" s="177"/>
    <row r="387" ht="15.75" customHeight="1" s="177"/>
    <row r="388" ht="15.75" customHeight="1" s="177"/>
    <row r="389" ht="15.75" customHeight="1" s="177"/>
    <row r="390" ht="15.75" customHeight="1" s="177"/>
    <row r="391" ht="15.75" customHeight="1" s="177"/>
    <row r="392" ht="15.75" customHeight="1" s="177"/>
    <row r="393" ht="15.75" customHeight="1" s="177"/>
    <row r="394" ht="15.75" customHeight="1" s="177"/>
    <row r="395" ht="15.75" customHeight="1" s="177"/>
    <row r="396" ht="15.75" customHeight="1" s="177"/>
    <row r="397" ht="15.75" customHeight="1" s="177"/>
    <row r="398" ht="15.75" customHeight="1" s="177"/>
    <row r="399" ht="15.75" customHeight="1" s="177"/>
    <row r="400" ht="15.75" customHeight="1" s="177"/>
    <row r="401" ht="15.75" customHeight="1" s="177"/>
    <row r="402" ht="15.75" customHeight="1" s="177"/>
    <row r="403" ht="15.75" customHeight="1" s="177"/>
    <row r="404" ht="15.75" customHeight="1" s="177"/>
    <row r="405" ht="15.75" customHeight="1" s="177"/>
    <row r="406" ht="15.75" customHeight="1" s="177"/>
    <row r="407" ht="15.75" customHeight="1" s="177"/>
    <row r="408" ht="15.75" customHeight="1" s="177"/>
    <row r="409" ht="15.75" customHeight="1" s="177"/>
    <row r="410" ht="15.75" customHeight="1" s="177"/>
    <row r="411" ht="15.75" customHeight="1" s="177"/>
    <row r="412" ht="15.75" customHeight="1" s="177"/>
    <row r="413" ht="15.75" customHeight="1" s="177"/>
    <row r="414" ht="15.75" customHeight="1" s="177"/>
    <row r="415" ht="15.75" customHeight="1" s="177"/>
    <row r="416" ht="15.75" customHeight="1" s="177"/>
    <row r="417" ht="15.75" customHeight="1" s="177"/>
    <row r="418" ht="15.75" customHeight="1" s="177"/>
    <row r="419" ht="15.75" customHeight="1" s="177"/>
    <row r="420" ht="15.75" customHeight="1" s="177"/>
    <row r="421" ht="15.75" customHeight="1" s="177"/>
    <row r="422" ht="15.75" customHeight="1" s="177"/>
    <row r="423" ht="15.75" customHeight="1" s="177"/>
    <row r="424" ht="15.75" customHeight="1" s="177"/>
    <row r="425" ht="15.75" customHeight="1" s="177"/>
    <row r="426" ht="15.75" customHeight="1" s="177"/>
    <row r="427" ht="15.75" customHeight="1" s="177"/>
    <row r="428" ht="15.75" customHeight="1" s="177"/>
    <row r="429" ht="15.75" customHeight="1" s="177"/>
    <row r="430" ht="15.75" customHeight="1" s="177"/>
    <row r="431" ht="15.75" customHeight="1" s="177"/>
    <row r="432" ht="15.75" customHeight="1" s="177"/>
    <row r="433" ht="15.75" customHeight="1" s="177"/>
    <row r="434" ht="15.75" customHeight="1" s="177"/>
    <row r="435" ht="15.75" customHeight="1" s="177"/>
    <row r="436" ht="15.75" customHeight="1" s="177"/>
    <row r="437" ht="15.75" customHeight="1" s="177"/>
    <row r="438" ht="15.75" customHeight="1" s="177"/>
    <row r="439" ht="15.75" customHeight="1" s="177"/>
    <row r="440" ht="15.75" customHeight="1" s="177"/>
    <row r="441" ht="15.75" customHeight="1" s="177"/>
    <row r="442" ht="15.75" customHeight="1" s="177"/>
    <row r="443" ht="15.75" customHeight="1" s="177"/>
    <row r="444" ht="15.75" customHeight="1" s="177"/>
    <row r="445" ht="15.75" customHeight="1" s="177"/>
    <row r="446" ht="15.75" customHeight="1" s="177"/>
    <row r="447" ht="15.75" customHeight="1" s="177"/>
    <row r="448" ht="15.75" customHeight="1" s="177"/>
    <row r="449" ht="15.75" customHeight="1" s="177"/>
    <row r="450" ht="15.75" customHeight="1" s="177"/>
    <row r="451" ht="15.75" customHeight="1" s="177"/>
    <row r="452" ht="15.75" customHeight="1" s="177"/>
    <row r="453" ht="15.75" customHeight="1" s="177"/>
    <row r="454" ht="15.75" customHeight="1" s="177"/>
    <row r="455" ht="15.75" customHeight="1" s="177"/>
    <row r="456" ht="15.75" customHeight="1" s="177"/>
    <row r="457" ht="15.75" customHeight="1" s="177"/>
    <row r="458" ht="15.75" customHeight="1" s="177"/>
    <row r="459" ht="15.75" customHeight="1" s="177"/>
    <row r="460" ht="15.75" customHeight="1" s="177"/>
    <row r="461" ht="15.75" customHeight="1" s="177"/>
    <row r="462" ht="15.75" customHeight="1" s="177"/>
    <row r="463" ht="15.75" customHeight="1" s="177"/>
    <row r="464" ht="15.75" customHeight="1" s="177"/>
    <row r="465" ht="15.75" customHeight="1" s="177"/>
    <row r="466" ht="15.75" customHeight="1" s="177"/>
    <row r="467" ht="15.75" customHeight="1" s="177"/>
    <row r="468" ht="15.75" customHeight="1" s="177"/>
    <row r="469" ht="15.75" customHeight="1" s="177"/>
    <row r="470" ht="15.75" customHeight="1" s="177"/>
    <row r="471" ht="15.75" customHeight="1" s="177"/>
    <row r="472" ht="15.75" customHeight="1" s="177"/>
    <row r="473" ht="15.75" customHeight="1" s="177"/>
    <row r="474" ht="15.75" customHeight="1" s="177"/>
    <row r="475" ht="15.75" customHeight="1" s="177"/>
    <row r="476" ht="15.75" customHeight="1" s="177"/>
    <row r="477" ht="15.75" customHeight="1" s="177"/>
    <row r="478" ht="15.75" customHeight="1" s="177"/>
    <row r="479" ht="15.75" customHeight="1" s="177"/>
    <row r="480" ht="15.75" customHeight="1" s="177"/>
    <row r="481" ht="15.75" customHeight="1" s="177"/>
    <row r="482" ht="15.75" customHeight="1" s="177"/>
    <row r="483" ht="15.75" customHeight="1" s="177"/>
    <row r="484" ht="15.75" customHeight="1" s="177"/>
    <row r="485" ht="15.75" customHeight="1" s="177"/>
    <row r="486" ht="15.75" customHeight="1" s="177"/>
    <row r="487" ht="15.75" customHeight="1" s="177"/>
    <row r="488" ht="15.75" customHeight="1" s="177"/>
    <row r="489" ht="15.75" customHeight="1" s="177"/>
    <row r="490" ht="15.75" customHeight="1" s="177"/>
    <row r="491" ht="15.75" customHeight="1" s="177"/>
    <row r="492" ht="15.75" customHeight="1" s="177"/>
    <row r="493" ht="15.75" customHeight="1" s="177"/>
    <row r="494" ht="15.75" customHeight="1" s="177"/>
    <row r="495" ht="15.75" customHeight="1" s="177"/>
    <row r="496" ht="15.75" customHeight="1" s="177"/>
    <row r="497" ht="15.75" customHeight="1" s="177"/>
    <row r="498" ht="15.75" customHeight="1" s="177"/>
    <row r="499" ht="15.75" customHeight="1" s="177"/>
    <row r="500" ht="15.75" customHeight="1" s="177"/>
    <row r="501" ht="15.75" customHeight="1" s="177"/>
    <row r="502" ht="15.75" customHeight="1" s="177"/>
    <row r="503" ht="15.75" customHeight="1" s="177"/>
    <row r="504" ht="15.75" customHeight="1" s="177"/>
    <row r="505" ht="15.75" customHeight="1" s="177"/>
    <row r="506" ht="15.75" customHeight="1" s="177"/>
    <row r="507" ht="15.75" customHeight="1" s="177"/>
    <row r="508" ht="15.75" customHeight="1" s="177"/>
    <row r="509" ht="15.75" customHeight="1" s="177"/>
    <row r="510" ht="15.75" customHeight="1" s="177"/>
    <row r="511" ht="15.75" customHeight="1" s="177"/>
    <row r="512" ht="15.75" customHeight="1" s="177"/>
    <row r="513" ht="15.75" customHeight="1" s="177"/>
    <row r="514" ht="15.75" customHeight="1" s="177"/>
    <row r="515" ht="15.75" customHeight="1" s="177"/>
    <row r="516" ht="15.75" customHeight="1" s="177"/>
    <row r="517" ht="15.75" customHeight="1" s="177"/>
    <row r="518" ht="15.75" customHeight="1" s="177"/>
    <row r="519" ht="15.75" customHeight="1" s="177"/>
    <row r="520" ht="15.75" customHeight="1" s="177"/>
    <row r="521" ht="15.75" customHeight="1" s="177"/>
    <row r="522" ht="15.75" customHeight="1" s="177"/>
    <row r="523" ht="15.75" customHeight="1" s="177"/>
    <row r="524" ht="15.75" customHeight="1" s="177"/>
    <row r="525" ht="15.75" customHeight="1" s="177"/>
    <row r="526" ht="15.75" customHeight="1" s="177"/>
    <row r="527" ht="15.75" customHeight="1" s="177"/>
    <row r="528" ht="15.75" customHeight="1" s="177"/>
    <row r="529" ht="15.75" customHeight="1" s="177"/>
    <row r="530" ht="15.75" customHeight="1" s="177"/>
    <row r="531" ht="15.75" customHeight="1" s="177"/>
    <row r="532" ht="15.75" customHeight="1" s="177"/>
    <row r="533" ht="15.75" customHeight="1" s="177"/>
    <row r="534" ht="15.75" customHeight="1" s="177"/>
    <row r="535" ht="15.75" customHeight="1" s="177"/>
    <row r="536" ht="15.75" customHeight="1" s="177"/>
    <row r="537" ht="15.75" customHeight="1" s="177"/>
    <row r="538" ht="15.75" customHeight="1" s="177"/>
    <row r="539" ht="15.75" customHeight="1" s="177"/>
    <row r="540" ht="15.75" customHeight="1" s="177"/>
    <row r="541" ht="15.75" customHeight="1" s="177"/>
    <row r="542" ht="15.75" customHeight="1" s="177"/>
    <row r="543" ht="15.75" customHeight="1" s="177"/>
    <row r="544" ht="15.75" customHeight="1" s="177"/>
    <row r="545" ht="15.75" customHeight="1" s="177"/>
    <row r="546" ht="15.75" customHeight="1" s="177"/>
    <row r="547" ht="15.75" customHeight="1" s="177"/>
    <row r="548" ht="15.75" customHeight="1" s="177"/>
    <row r="549" ht="15.75" customHeight="1" s="177"/>
    <row r="550" ht="15.75" customHeight="1" s="177"/>
    <row r="551" ht="15.75" customHeight="1" s="177"/>
    <row r="552" ht="15.75" customHeight="1" s="177"/>
    <row r="553" ht="15.75" customHeight="1" s="177"/>
    <row r="554" ht="15.75" customHeight="1" s="177"/>
    <row r="555" ht="15.75" customHeight="1" s="177"/>
    <row r="556" ht="15.75" customHeight="1" s="177"/>
    <row r="557" ht="15.75" customHeight="1" s="177"/>
    <row r="558" ht="15.75" customHeight="1" s="177"/>
    <row r="559" ht="15.75" customHeight="1" s="177"/>
    <row r="560" ht="15.75" customHeight="1" s="177"/>
    <row r="561" ht="15.75" customHeight="1" s="177"/>
    <row r="562" ht="15.75" customHeight="1" s="177"/>
    <row r="563" ht="15.75" customHeight="1" s="177"/>
    <row r="564" ht="15.75" customHeight="1" s="177"/>
    <row r="565" ht="15.75" customHeight="1" s="177"/>
    <row r="566" ht="15.75" customHeight="1" s="177"/>
    <row r="567" ht="15.75" customHeight="1" s="177"/>
    <row r="568" ht="15.75" customHeight="1" s="177"/>
    <row r="569" ht="15.75" customHeight="1" s="177"/>
    <row r="570" ht="15.75" customHeight="1" s="177"/>
    <row r="571" ht="15.75" customHeight="1" s="177"/>
    <row r="572" ht="15.75" customHeight="1" s="177"/>
    <row r="573" ht="15.75" customHeight="1" s="177"/>
    <row r="574" ht="15.75" customHeight="1" s="177"/>
    <row r="575" ht="15.75" customHeight="1" s="177"/>
    <row r="576" ht="15.75" customHeight="1" s="177"/>
    <row r="577" ht="15.75" customHeight="1" s="177"/>
    <row r="578" ht="15.75" customHeight="1" s="177"/>
    <row r="579" ht="15.75" customHeight="1" s="177"/>
    <row r="580" ht="15.75" customHeight="1" s="177"/>
    <row r="581" ht="15.75" customHeight="1" s="177"/>
    <row r="582" ht="15.75" customHeight="1" s="177"/>
    <row r="583" ht="15.75" customHeight="1" s="177"/>
    <row r="584" ht="15.75" customHeight="1" s="177"/>
    <row r="585" ht="15.75" customHeight="1" s="177"/>
    <row r="586" ht="15.75" customHeight="1" s="177"/>
    <row r="587" ht="15.75" customHeight="1" s="177"/>
    <row r="588" ht="15.75" customHeight="1" s="177"/>
    <row r="589" ht="15.75" customHeight="1" s="177"/>
    <row r="590" ht="15.75" customHeight="1" s="177"/>
    <row r="591" ht="15.75" customHeight="1" s="177"/>
    <row r="592" ht="15.75" customHeight="1" s="177"/>
    <row r="593" ht="15.75" customHeight="1" s="177"/>
    <row r="594" ht="15.75" customHeight="1" s="177"/>
    <row r="595" ht="15.75" customHeight="1" s="177"/>
    <row r="596" ht="15.75" customHeight="1" s="177"/>
    <row r="597" ht="15.75" customHeight="1" s="177"/>
    <row r="598" ht="15.75" customHeight="1" s="177"/>
    <row r="599" ht="15.75" customHeight="1" s="177"/>
    <row r="600" ht="15.75" customHeight="1" s="177"/>
    <row r="601" ht="15.75" customHeight="1" s="177"/>
    <row r="602" ht="15.75" customHeight="1" s="177"/>
    <row r="603" ht="15.75" customHeight="1" s="177"/>
    <row r="604" ht="15.75" customHeight="1" s="177"/>
    <row r="605" ht="15.75" customHeight="1" s="177"/>
    <row r="606" ht="15.75" customHeight="1" s="177"/>
    <row r="607" ht="15.75" customHeight="1" s="177"/>
    <row r="608" ht="15.75" customHeight="1" s="177"/>
    <row r="609" ht="15.75" customHeight="1" s="177"/>
    <row r="610" ht="15.75" customHeight="1" s="177"/>
    <row r="611" ht="15.75" customHeight="1" s="177"/>
    <row r="612" ht="15.75" customHeight="1" s="177"/>
    <row r="613" ht="15.75" customHeight="1" s="177"/>
    <row r="614" ht="15.75" customHeight="1" s="177"/>
    <row r="615" ht="15.75" customHeight="1" s="177"/>
    <row r="616" ht="15.75" customHeight="1" s="177"/>
    <row r="617" ht="15.75" customHeight="1" s="177"/>
    <row r="618" ht="15.75" customHeight="1" s="177"/>
    <row r="619" ht="15.75" customHeight="1" s="177"/>
    <row r="620" ht="15.75" customHeight="1" s="177"/>
    <row r="621" ht="15.75" customHeight="1" s="177"/>
    <row r="622" ht="15.75" customHeight="1" s="177"/>
    <row r="623" ht="15.75" customHeight="1" s="177"/>
    <row r="624" ht="15.75" customHeight="1" s="177"/>
    <row r="625" ht="15.75" customHeight="1" s="177"/>
    <row r="626" ht="15.75" customHeight="1" s="177"/>
    <row r="627" ht="15.75" customHeight="1" s="177"/>
    <row r="628" ht="15.75" customHeight="1" s="177"/>
    <row r="629" ht="15.75" customHeight="1" s="177"/>
    <row r="630" ht="15.75" customHeight="1" s="177"/>
    <row r="631" ht="15.75" customHeight="1" s="177"/>
    <row r="632" ht="15.75" customHeight="1" s="177"/>
    <row r="633" ht="15.75" customHeight="1" s="177"/>
    <row r="634" ht="15.75" customHeight="1" s="177"/>
    <row r="635" ht="15.75" customHeight="1" s="177"/>
    <row r="636" ht="15.75" customHeight="1" s="177"/>
    <row r="637" ht="15.75" customHeight="1" s="177"/>
    <row r="638" ht="15.75" customHeight="1" s="177"/>
    <row r="639" ht="15.75" customHeight="1" s="177"/>
    <row r="640" ht="15.75" customHeight="1" s="177"/>
    <row r="641" ht="15.75" customHeight="1" s="177"/>
    <row r="642" ht="15.75" customHeight="1" s="177"/>
    <row r="643" ht="15.75" customHeight="1" s="177"/>
    <row r="644" ht="15.75" customHeight="1" s="177"/>
    <row r="645" ht="15.75" customHeight="1" s="177"/>
    <row r="646" ht="15.75" customHeight="1" s="177"/>
    <row r="647" ht="15.75" customHeight="1" s="177"/>
    <row r="648" ht="15.75" customHeight="1" s="177"/>
    <row r="649" ht="15.75" customHeight="1" s="177"/>
    <row r="650" ht="15.75" customHeight="1" s="177"/>
    <row r="651" ht="15.75" customHeight="1" s="177"/>
    <row r="652" ht="15.75" customHeight="1" s="177"/>
    <row r="653" ht="15.75" customHeight="1" s="177"/>
    <row r="654" ht="15.75" customHeight="1" s="177"/>
    <row r="655" ht="15.75" customHeight="1" s="177"/>
    <row r="656" ht="15.75" customHeight="1" s="177"/>
    <row r="657" ht="15.75" customHeight="1" s="177"/>
    <row r="658" ht="15.75" customHeight="1" s="177"/>
    <row r="659" ht="15.75" customHeight="1" s="177"/>
    <row r="660" ht="15.75" customHeight="1" s="177"/>
    <row r="661" ht="15.75" customHeight="1" s="177"/>
    <row r="662" ht="15.75" customHeight="1" s="177"/>
    <row r="663" ht="15.75" customHeight="1" s="177"/>
    <row r="664" ht="15.75" customHeight="1" s="177"/>
    <row r="665" ht="15.75" customHeight="1" s="177"/>
    <row r="666" ht="15.75" customHeight="1" s="177"/>
    <row r="667" ht="15.75" customHeight="1" s="177"/>
    <row r="668" ht="15.75" customHeight="1" s="177"/>
    <row r="669" ht="15.75" customHeight="1" s="177"/>
    <row r="670" ht="15.75" customHeight="1" s="177"/>
    <row r="671" ht="15.75" customHeight="1" s="177"/>
    <row r="672" ht="15.75" customHeight="1" s="177"/>
    <row r="673" ht="15.75" customHeight="1" s="177"/>
    <row r="674" ht="15.75" customHeight="1" s="177"/>
    <row r="675" ht="15.75" customHeight="1" s="177"/>
    <row r="676" ht="15.75" customHeight="1" s="177"/>
    <row r="677" ht="15.75" customHeight="1" s="177"/>
    <row r="678" ht="15.75" customHeight="1" s="177"/>
    <row r="679" ht="15.75" customHeight="1" s="177"/>
    <row r="680" ht="15.75" customHeight="1" s="177"/>
    <row r="681" ht="15.75" customHeight="1" s="177"/>
    <row r="682" ht="15.75" customHeight="1" s="177"/>
    <row r="683" ht="15.75" customHeight="1" s="177"/>
    <row r="684" ht="15.75" customHeight="1" s="177"/>
    <row r="685" ht="15.75" customHeight="1" s="177"/>
    <row r="686" ht="15.75" customHeight="1" s="177"/>
    <row r="687" ht="15.75" customHeight="1" s="177"/>
    <row r="688" ht="15.75" customHeight="1" s="177"/>
    <row r="689" ht="15.75" customHeight="1" s="177"/>
    <row r="690" ht="15.75" customHeight="1" s="177"/>
    <row r="691" ht="15.75" customHeight="1" s="177"/>
    <row r="692" ht="15.75" customHeight="1" s="177"/>
    <row r="693" ht="15.75" customHeight="1" s="177"/>
    <row r="694" ht="15.75" customHeight="1" s="177"/>
    <row r="695" ht="15.75" customHeight="1" s="177"/>
    <row r="696" ht="15.75" customHeight="1" s="177"/>
    <row r="697" ht="15.75" customHeight="1" s="177"/>
    <row r="698" ht="15.75" customHeight="1" s="177"/>
    <row r="699" ht="15.75" customHeight="1" s="177"/>
    <row r="700" ht="15.75" customHeight="1" s="177"/>
    <row r="701" ht="15.75" customHeight="1" s="177"/>
    <row r="702" ht="15.75" customHeight="1" s="177"/>
    <row r="703" ht="15.75" customHeight="1" s="177"/>
    <row r="704" ht="15.75" customHeight="1" s="177"/>
    <row r="705" ht="15.75" customHeight="1" s="177"/>
    <row r="706" ht="15.75" customHeight="1" s="177"/>
    <row r="707" ht="15.75" customHeight="1" s="177"/>
    <row r="708" ht="15.75" customHeight="1" s="177"/>
    <row r="709" ht="15.75" customHeight="1" s="177"/>
    <row r="710" ht="15.75" customHeight="1" s="177"/>
    <row r="711" ht="15.75" customHeight="1" s="177"/>
    <row r="712" ht="15.75" customHeight="1" s="177"/>
    <row r="713" ht="15.75" customHeight="1" s="177"/>
    <row r="714" ht="15.75" customHeight="1" s="177"/>
    <row r="715" ht="15.75" customHeight="1" s="177"/>
    <row r="716" ht="15.75" customHeight="1" s="177"/>
    <row r="717" ht="15.75" customHeight="1" s="177"/>
    <row r="718" ht="15.75" customHeight="1" s="177"/>
    <row r="719" ht="15.75" customHeight="1" s="177"/>
    <row r="720" ht="15.75" customHeight="1" s="177"/>
    <row r="721" ht="15.75" customHeight="1" s="177"/>
    <row r="722" ht="15.75" customHeight="1" s="177"/>
    <row r="723" ht="15.75" customHeight="1" s="177"/>
    <row r="724" ht="15.75" customHeight="1" s="177"/>
    <row r="725" ht="15.75" customHeight="1" s="177"/>
    <row r="726" ht="15.75" customHeight="1" s="177"/>
    <row r="727" ht="15.75" customHeight="1" s="177"/>
    <row r="728" ht="15.75" customHeight="1" s="177"/>
    <row r="729" ht="15.75" customHeight="1" s="177"/>
    <row r="730" ht="15.75" customHeight="1" s="177"/>
    <row r="731" ht="15.75" customHeight="1" s="177"/>
    <row r="732" ht="15.75" customHeight="1" s="177"/>
    <row r="733" ht="15.75" customHeight="1" s="177"/>
    <row r="734" ht="15.75" customHeight="1" s="177"/>
    <row r="735" ht="15.75" customHeight="1" s="177"/>
    <row r="736" ht="15.75" customHeight="1" s="177"/>
    <row r="737" ht="15.75" customHeight="1" s="177"/>
    <row r="738" ht="15.75" customHeight="1" s="177"/>
    <row r="739" ht="15.75" customHeight="1" s="177"/>
    <row r="740" ht="15.75" customHeight="1" s="177"/>
    <row r="741" ht="15.75" customHeight="1" s="177"/>
    <row r="742" ht="15.75" customHeight="1" s="177"/>
    <row r="743" ht="15.75" customHeight="1" s="177"/>
    <row r="744" ht="15.75" customHeight="1" s="177"/>
    <row r="745" ht="15.75" customHeight="1" s="177"/>
    <row r="746" ht="15.75" customHeight="1" s="177"/>
    <row r="747" ht="15.75" customHeight="1" s="177"/>
    <row r="748" ht="15.75" customHeight="1" s="177"/>
    <row r="749" ht="15.75" customHeight="1" s="177"/>
    <row r="750" ht="15.75" customHeight="1" s="177"/>
    <row r="751" ht="15.75" customHeight="1" s="177"/>
    <row r="752" ht="15.75" customHeight="1" s="177"/>
    <row r="753" ht="15.75" customHeight="1" s="177"/>
    <row r="754" ht="15.75" customHeight="1" s="177"/>
    <row r="755" ht="15.75" customHeight="1" s="177"/>
    <row r="756" ht="15.75" customHeight="1" s="177"/>
    <row r="757" ht="15.75" customHeight="1" s="177"/>
    <row r="758" ht="15.75" customHeight="1" s="177"/>
    <row r="759" ht="15.75" customHeight="1" s="177"/>
    <row r="760" ht="15.75" customHeight="1" s="177"/>
    <row r="761" ht="15.75" customHeight="1" s="177"/>
    <row r="762" ht="15.75" customHeight="1" s="177"/>
    <row r="763" ht="15.75" customHeight="1" s="177"/>
    <row r="764" ht="15.75" customHeight="1" s="177"/>
    <row r="765" ht="15.75" customHeight="1" s="177"/>
    <row r="766" ht="15.75" customHeight="1" s="177"/>
    <row r="767" ht="15.75" customHeight="1" s="177"/>
    <row r="768" ht="15.75" customHeight="1" s="177"/>
    <row r="769" ht="15.75" customHeight="1" s="177"/>
    <row r="770" ht="15.75" customHeight="1" s="177"/>
    <row r="771" ht="15.75" customHeight="1" s="177"/>
    <row r="772" ht="15.75" customHeight="1" s="177"/>
    <row r="773" ht="15.75" customHeight="1" s="177"/>
    <row r="774" ht="15.75" customHeight="1" s="177"/>
    <row r="775" ht="15.75" customHeight="1" s="177"/>
    <row r="776" ht="15.75" customHeight="1" s="177"/>
    <row r="777" ht="15.75" customHeight="1" s="177"/>
    <row r="778" ht="15.75" customHeight="1" s="177"/>
    <row r="779" ht="15.75" customHeight="1" s="177"/>
    <row r="780" ht="15.75" customHeight="1" s="177"/>
    <row r="781" ht="15.75" customHeight="1" s="177"/>
    <row r="782" ht="15.75" customHeight="1" s="177"/>
    <row r="783" ht="15.75" customHeight="1" s="177"/>
    <row r="784" ht="15.75" customHeight="1" s="177"/>
    <row r="785" ht="15.75" customHeight="1" s="177"/>
    <row r="786" ht="15.75" customHeight="1" s="177"/>
    <row r="787" ht="15.75" customHeight="1" s="177"/>
    <row r="788" ht="15.75" customHeight="1" s="177"/>
    <row r="789" ht="15.75" customHeight="1" s="177"/>
    <row r="790" ht="15.75" customHeight="1" s="177"/>
    <row r="791" ht="15.75" customHeight="1" s="177"/>
    <row r="792" ht="15.75" customHeight="1" s="177"/>
    <row r="793" ht="15.75" customHeight="1" s="177"/>
    <row r="794" ht="15.75" customHeight="1" s="177"/>
    <row r="795" ht="15.75" customHeight="1" s="177"/>
    <row r="796" ht="15.75" customHeight="1" s="177"/>
    <row r="797" ht="15.75" customHeight="1" s="177"/>
    <row r="798" ht="15.75" customHeight="1" s="177"/>
    <row r="799" ht="15.75" customHeight="1" s="177"/>
    <row r="800" ht="15.75" customHeight="1" s="177"/>
    <row r="801" ht="15.75" customHeight="1" s="177"/>
    <row r="802" ht="15.75" customHeight="1" s="177"/>
    <row r="803" ht="15.75" customHeight="1" s="177"/>
    <row r="804" ht="15.75" customHeight="1" s="177"/>
    <row r="805" ht="15.75" customHeight="1" s="177"/>
    <row r="806" ht="15.75" customHeight="1" s="177"/>
    <row r="807" ht="15.75" customHeight="1" s="177"/>
    <row r="808" ht="15.75" customHeight="1" s="177"/>
    <row r="809" ht="15.75" customHeight="1" s="177"/>
    <row r="810" ht="15.75" customHeight="1" s="177"/>
    <row r="811" ht="15.75" customHeight="1" s="177"/>
    <row r="812" ht="15.75" customHeight="1" s="177"/>
    <row r="813" ht="15.75" customHeight="1" s="177"/>
    <row r="814" ht="15.75" customHeight="1" s="177"/>
    <row r="815" ht="15.75" customHeight="1" s="177"/>
    <row r="816" ht="15.75" customHeight="1" s="177"/>
    <row r="817" ht="15.75" customHeight="1" s="177"/>
    <row r="818" ht="15.75" customHeight="1" s="177"/>
    <row r="819" ht="15.75" customHeight="1" s="177"/>
    <row r="820" ht="15.75" customHeight="1" s="177"/>
    <row r="821" ht="15.75" customHeight="1" s="177"/>
    <row r="822" ht="15.75" customHeight="1" s="177"/>
    <row r="823" ht="15.75" customHeight="1" s="177"/>
    <row r="824" ht="15.75" customHeight="1" s="177"/>
    <row r="825" ht="15.75" customHeight="1" s="177"/>
    <row r="826" ht="15.75" customHeight="1" s="177"/>
    <row r="827" ht="15.75" customHeight="1" s="177"/>
    <row r="828" ht="15.75" customHeight="1" s="177"/>
    <row r="829" ht="15.75" customHeight="1" s="177"/>
    <row r="830" ht="15.75" customHeight="1" s="177"/>
    <row r="831" ht="15.75" customHeight="1" s="177"/>
    <row r="832" ht="15.75" customHeight="1" s="177"/>
    <row r="833" ht="15.75" customHeight="1" s="177"/>
    <row r="834" ht="15.75" customHeight="1" s="177"/>
    <row r="835" ht="15.75" customHeight="1" s="177"/>
    <row r="836" ht="15.75" customHeight="1" s="177"/>
    <row r="837" ht="15.75" customHeight="1" s="177"/>
    <row r="838" ht="15.75" customHeight="1" s="177"/>
    <row r="839" ht="15.75" customHeight="1" s="177"/>
    <row r="840" ht="15.75" customHeight="1" s="177"/>
    <row r="841" ht="15.75" customHeight="1" s="177"/>
    <row r="842" ht="15.75" customHeight="1" s="177"/>
    <row r="843" ht="15.75" customHeight="1" s="177"/>
    <row r="844" ht="15.75" customHeight="1" s="177"/>
    <row r="845" ht="15.75" customHeight="1" s="177"/>
    <row r="846" ht="15.75" customHeight="1" s="177"/>
    <row r="847" ht="15.75" customHeight="1" s="177"/>
    <row r="848" ht="15.75" customHeight="1" s="177"/>
    <row r="849" ht="15.75" customHeight="1" s="177"/>
    <row r="850" ht="15.75" customHeight="1" s="177"/>
    <row r="851" ht="15.75" customHeight="1" s="177"/>
    <row r="852" ht="15.75" customHeight="1" s="177"/>
    <row r="853" ht="15.75" customHeight="1" s="177"/>
    <row r="854" ht="15.75" customHeight="1" s="177"/>
    <row r="855" ht="15.75" customHeight="1" s="177"/>
    <row r="856" ht="15.75" customHeight="1" s="177"/>
    <row r="857" ht="15.75" customHeight="1" s="177"/>
    <row r="858" ht="15.75" customHeight="1" s="177"/>
    <row r="859" ht="15.75" customHeight="1" s="177"/>
    <row r="860" ht="15.75" customHeight="1" s="177"/>
    <row r="861" ht="15.75" customHeight="1" s="177"/>
    <row r="862" ht="15.75" customHeight="1" s="177"/>
    <row r="863" ht="15.75" customHeight="1" s="177"/>
    <row r="864" ht="15.75" customHeight="1" s="177"/>
    <row r="865" ht="15.75" customHeight="1" s="177"/>
    <row r="866" ht="15.75" customHeight="1" s="177"/>
    <row r="867" ht="15.75" customHeight="1" s="177"/>
    <row r="868" ht="15.75" customHeight="1" s="177"/>
    <row r="869" ht="15.75" customHeight="1" s="177"/>
    <row r="870" ht="15.75" customHeight="1" s="177"/>
    <row r="871" ht="15.75" customHeight="1" s="177"/>
    <row r="872" ht="15.75" customHeight="1" s="177"/>
    <row r="873" ht="15.75" customHeight="1" s="177"/>
    <row r="874" ht="15.75" customHeight="1" s="177"/>
    <row r="875" ht="15.75" customHeight="1" s="177"/>
    <row r="876" ht="15.75" customHeight="1" s="177"/>
    <row r="877" ht="15.75" customHeight="1" s="177"/>
    <row r="878" ht="15.75" customHeight="1" s="177"/>
    <row r="879" ht="15.75" customHeight="1" s="177"/>
    <row r="880" ht="15.75" customHeight="1" s="177"/>
    <row r="881" ht="15.75" customHeight="1" s="177"/>
    <row r="882" ht="15.75" customHeight="1" s="177"/>
    <row r="883" ht="15.75" customHeight="1" s="177"/>
    <row r="884" ht="15.75" customHeight="1" s="177"/>
    <row r="885" ht="15.75" customHeight="1" s="177"/>
    <row r="886" ht="15.75" customHeight="1" s="177"/>
    <row r="887" ht="15.75" customHeight="1" s="177"/>
    <row r="888" ht="15.75" customHeight="1" s="177"/>
    <row r="889" ht="15.75" customHeight="1" s="177"/>
    <row r="890" ht="15.75" customHeight="1" s="177"/>
    <row r="891" ht="15.75" customHeight="1" s="177"/>
    <row r="892" ht="15.75" customHeight="1" s="177"/>
    <row r="893" ht="15.75" customHeight="1" s="177"/>
    <row r="894" ht="15.75" customHeight="1" s="177"/>
    <row r="895" ht="15.75" customHeight="1" s="177"/>
    <row r="896" ht="15.75" customHeight="1" s="177"/>
    <row r="897" ht="15.75" customHeight="1" s="177"/>
    <row r="898" ht="15.75" customHeight="1" s="177"/>
    <row r="899" ht="15.75" customHeight="1" s="177"/>
    <row r="900" ht="15.75" customHeight="1" s="177"/>
    <row r="901" ht="15.75" customHeight="1" s="177"/>
    <row r="902" ht="15.75" customHeight="1" s="177"/>
    <row r="903" ht="15.75" customHeight="1" s="177"/>
    <row r="904" ht="15.75" customHeight="1" s="177"/>
    <row r="905" ht="15.75" customHeight="1" s="177"/>
    <row r="906" ht="15.75" customHeight="1" s="177"/>
    <row r="907" ht="15.75" customHeight="1" s="177"/>
    <row r="908" ht="15.75" customHeight="1" s="177"/>
    <row r="909" ht="15.75" customHeight="1" s="177"/>
    <row r="910" ht="15.75" customHeight="1" s="177"/>
    <row r="911" ht="15.75" customHeight="1" s="177"/>
    <row r="912" ht="15.75" customHeight="1" s="177"/>
    <row r="913" ht="15.75" customHeight="1" s="177"/>
    <row r="914" ht="15.75" customHeight="1" s="177"/>
    <row r="915" ht="15.75" customHeight="1" s="177"/>
    <row r="916" ht="15.75" customHeight="1" s="177"/>
    <row r="917" ht="15.75" customHeight="1" s="177"/>
    <row r="918" ht="15.75" customHeight="1" s="177"/>
    <row r="919" ht="15.75" customHeight="1" s="177"/>
    <row r="920" ht="15.75" customHeight="1" s="177"/>
    <row r="921" ht="15.75" customHeight="1" s="177"/>
    <row r="922" ht="15.75" customHeight="1" s="177"/>
    <row r="923" ht="15.75" customHeight="1" s="177"/>
    <row r="924" ht="15.75" customHeight="1" s="177"/>
    <row r="925" ht="15.75" customHeight="1" s="177"/>
    <row r="926" ht="15.75" customHeight="1" s="177"/>
    <row r="927" ht="15.75" customHeight="1" s="177"/>
    <row r="928" ht="15.75" customHeight="1" s="177"/>
    <row r="929" ht="15.75" customHeight="1" s="177"/>
    <row r="930" ht="15.75" customHeight="1" s="177"/>
    <row r="931" ht="15.75" customHeight="1" s="177"/>
    <row r="932" ht="15.75" customHeight="1" s="177"/>
    <row r="933" ht="15.75" customHeight="1" s="177"/>
    <row r="934" ht="15.75" customHeight="1" s="177"/>
    <row r="935" ht="15.75" customHeight="1" s="177"/>
    <row r="936" ht="15.75" customHeight="1" s="177"/>
    <row r="937" ht="15.75" customHeight="1" s="177"/>
    <row r="938" ht="15.75" customHeight="1" s="177"/>
    <row r="939" ht="15.75" customHeight="1" s="177"/>
    <row r="940" ht="15.75" customHeight="1" s="177"/>
    <row r="941" ht="15.75" customHeight="1" s="177"/>
    <row r="942" ht="15.75" customHeight="1" s="177"/>
    <row r="943" ht="15.75" customHeight="1" s="177"/>
    <row r="944" ht="15.75" customHeight="1" s="177"/>
    <row r="945" ht="15.75" customHeight="1" s="177"/>
    <row r="946" ht="15.75" customHeight="1" s="177"/>
    <row r="947" ht="15.75" customHeight="1" s="177"/>
    <row r="948" ht="15.75" customHeight="1" s="177"/>
    <row r="949" ht="15.75" customHeight="1" s="177"/>
    <row r="950" ht="15.75" customHeight="1" s="177"/>
    <row r="951" ht="15.75" customHeight="1" s="177"/>
    <row r="952" ht="15.75" customHeight="1" s="177"/>
    <row r="953" ht="15.75" customHeight="1" s="177"/>
    <row r="954" ht="15.75" customHeight="1" s="177"/>
    <row r="955" ht="15.75" customHeight="1" s="177"/>
    <row r="956" ht="15.75" customHeight="1" s="177"/>
    <row r="957" ht="15.75" customHeight="1" s="177"/>
    <row r="958" ht="15.75" customHeight="1" s="177"/>
    <row r="959" ht="15.75" customHeight="1" s="177"/>
    <row r="960" ht="15.75" customHeight="1" s="177"/>
    <row r="961" ht="15.75" customHeight="1" s="177"/>
    <row r="962" ht="15.75" customHeight="1" s="177"/>
    <row r="963" ht="15.75" customHeight="1" s="177"/>
    <row r="964" ht="15.75" customHeight="1" s="177"/>
    <row r="965" ht="15.75" customHeight="1" s="177"/>
    <row r="966" ht="15.75" customHeight="1" s="177"/>
    <row r="967" ht="15.75" customHeight="1" s="177"/>
    <row r="968" ht="15.75" customHeight="1" s="177"/>
    <row r="969" ht="15.75" customHeight="1" s="177"/>
    <row r="970" ht="15.75" customHeight="1" s="177"/>
    <row r="971" ht="15.75" customHeight="1" s="177"/>
    <row r="972" ht="15.75" customHeight="1" s="177"/>
    <row r="973" ht="15.75" customHeight="1" s="177"/>
    <row r="974" ht="15.75" customHeight="1" s="177"/>
    <row r="975" ht="15.75" customHeight="1" s="177"/>
    <row r="976" ht="15.75" customHeight="1" s="177"/>
    <row r="977" ht="15.75" customHeight="1" s="177"/>
    <row r="978" ht="15.75" customHeight="1" s="177"/>
    <row r="979" ht="15.75" customHeight="1" s="177"/>
    <row r="980" ht="15.75" customHeight="1" s="177"/>
    <row r="981" ht="15.75" customHeight="1" s="177"/>
    <row r="982" ht="15.75" customHeight="1" s="177"/>
    <row r="983" ht="15.75" customHeight="1" s="177"/>
    <row r="984" ht="15.75" customHeight="1" s="177"/>
    <row r="985" ht="15.75" customHeight="1" s="177"/>
    <row r="986" ht="15.75" customHeight="1" s="177"/>
    <row r="987" ht="15.75" customHeight="1" s="177"/>
    <row r="988" ht="15.75" customHeight="1" s="177"/>
    <row r="989" ht="15.75" customHeight="1" s="177"/>
    <row r="990" ht="15.75" customHeight="1" s="177"/>
    <row r="991" ht="15.75" customHeight="1" s="177"/>
    <row r="992" ht="15.75" customHeight="1" s="177"/>
    <row r="993" ht="15.75" customHeight="1" s="177"/>
    <row r="994" ht="15.75" customHeight="1" s="177"/>
    <row r="995" ht="15.75" customHeight="1" s="177"/>
    <row r="996" ht="15.75" customHeight="1" s="177"/>
    <row r="997" ht="15.75" customHeight="1" s="177"/>
    <row r="998" ht="15.75" customHeight="1" s="177"/>
    <row r="999" ht="15.75" customHeight="1" s="177"/>
    <row r="1000" ht="15.75" customHeight="1" s="177"/>
    <row r="1001" ht="15.75" customHeight="1" s="177"/>
    <row r="1002" ht="15.75" customHeight="1" s="177"/>
  </sheetData>
  <mergeCells count="56">
    <mergeCell ref="D20:E20"/>
    <mergeCell ref="G12:N12"/>
    <mergeCell ref="H20:I20"/>
    <mergeCell ref="D19:E19"/>
    <mergeCell ref="B6:E6"/>
    <mergeCell ref="G11:N11"/>
    <mergeCell ref="F19:G19"/>
    <mergeCell ref="C9:E9"/>
    <mergeCell ref="J19:K19"/>
    <mergeCell ref="J28:K28"/>
    <mergeCell ref="B18:C18"/>
    <mergeCell ref="L28:M28"/>
    <mergeCell ref="I8:J9"/>
    <mergeCell ref="C12:E12"/>
    <mergeCell ref="K8:L9"/>
    <mergeCell ref="B2:N3"/>
    <mergeCell ref="M8:N9"/>
    <mergeCell ref="C11:E11"/>
    <mergeCell ref="J21:K22"/>
    <mergeCell ref="G7:H7"/>
    <mergeCell ref="I7:J7"/>
    <mergeCell ref="B4:N4"/>
    <mergeCell ref="F20:G20"/>
    <mergeCell ref="C8:E8"/>
    <mergeCell ref="B23:C23"/>
    <mergeCell ref="F18:G18"/>
    <mergeCell ref="G6:N6"/>
    <mergeCell ref="B30:M30"/>
    <mergeCell ref="B31:M36"/>
    <mergeCell ref="M7:N7"/>
    <mergeCell ref="J20:K20"/>
    <mergeCell ref="C13:E13"/>
    <mergeCell ref="B19:C19"/>
    <mergeCell ref="B21:C22"/>
    <mergeCell ref="F23:G23"/>
    <mergeCell ref="B28:C28"/>
    <mergeCell ref="D28:E28"/>
    <mergeCell ref="H19:I19"/>
    <mergeCell ref="F28:G28"/>
    <mergeCell ref="B26:M26"/>
    <mergeCell ref="H28:I28"/>
    <mergeCell ref="D18:E18"/>
    <mergeCell ref="G8:H9"/>
    <mergeCell ref="B16:M16"/>
    <mergeCell ref="K7:L7"/>
    <mergeCell ref="C14:E14"/>
    <mergeCell ref="D21:E22"/>
    <mergeCell ref="H21:I22"/>
    <mergeCell ref="B20:C20"/>
    <mergeCell ref="H18:I18"/>
    <mergeCell ref="D23:E23"/>
    <mergeCell ref="J18:K18"/>
    <mergeCell ref="H23:I23"/>
    <mergeCell ref="J23:K23"/>
    <mergeCell ref="F21:G22"/>
    <mergeCell ref="C10:E10"/>
  </mergeCells>
  <hyperlinks>
    <hyperlink xmlns:r="http://schemas.openxmlformats.org/officeDocument/2006/relationships" ref="C12" r:id="rId1"/>
    <hyperlink xmlns:r="http://schemas.openxmlformats.org/officeDocument/2006/relationships" ref="C13" r:id="rId2"/>
  </hyperlink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E76F51"/>
    <outlinePr summaryBelow="1" summaryRight="1"/>
    <pageSetUpPr/>
  </sheetPr>
  <dimension ref="B2:M35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177" min="1" max="1"/>
    <col width="22" customWidth="1" style="177" min="2" max="2"/>
    <col width="9" customWidth="1" style="177" min="3" max="3"/>
    <col width="10" customWidth="1" style="177" min="4" max="8"/>
    <col width="12" customWidth="1" style="177" min="9" max="9"/>
    <col width="11" customWidth="1" style="177" min="10" max="10"/>
    <col width="12" customWidth="1" style="177" min="11" max="13"/>
    <col width="8.710000000000001" customWidth="1" style="177" min="14" max="26"/>
  </cols>
  <sheetData>
    <row r="2">
      <c r="B2" s="229" t="inlineStr">
        <is>
          <t>ASSESSMENT TRACKER</t>
        </is>
      </c>
    </row>
    <row r="3"/>
    <row r="4">
      <c r="B4" s="230" t="inlineStr">
        <is>
          <t>Kriteria penilaian junior project · self-assessment tiap sprint · diisi setelah asistensi</t>
        </is>
      </c>
    </row>
    <row r="6">
      <c r="B6" s="180" t="inlineStr">
        <is>
          <t>SCORING RUBRIC (Total = 100%)</t>
        </is>
      </c>
    </row>
    <row r="7" ht="24" customHeight="1" s="177">
      <c r="B7" s="16" t="inlineStr">
        <is>
          <t>Criteria</t>
        </is>
      </c>
      <c r="C7" s="16" t="inlineStr">
        <is>
          <t>Weight</t>
        </is>
      </c>
      <c r="D7" s="231" t="inlineStr">
        <is>
          <t>Description</t>
        </is>
      </c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</row>
    <row r="8" ht="27.75" customHeight="1" s="177">
      <c r="B8" s="154" t="inlineStr">
        <is>
          <t>Perancangan &amp; Arsitektur</t>
        </is>
      </c>
      <c r="C8" s="28" t="inlineStr">
        <is>
          <t>20%</t>
        </is>
      </c>
      <c r="D8" s="175" t="inlineStr">
        <is>
          <t>Class diagram, use case, ERD, pemisahan Model/Service/View jelas</t>
        </is>
      </c>
      <c r="E8" s="185" t="n"/>
      <c r="F8" s="185" t="n"/>
      <c r="G8" s="185" t="n"/>
      <c r="H8" s="185" t="n"/>
      <c r="I8" s="185" t="n"/>
      <c r="J8" s="185" t="n"/>
      <c r="K8" s="185" t="n"/>
      <c r="L8" s="185" t="n"/>
      <c r="M8" s="186" t="n"/>
    </row>
    <row r="9" ht="27.75" customHeight="1" s="177">
      <c r="B9" s="159" t="inlineStr">
        <is>
          <t>Implementasi OOP</t>
        </is>
      </c>
      <c r="C9" s="35" t="inlineStr">
        <is>
          <t>25%</t>
        </is>
      </c>
      <c r="D9" s="163" t="inlineStr">
        <is>
          <t>Enkapsulasi, inheritance, interface, MVVM dan data binding dipakai benar</t>
        </is>
      </c>
      <c r="E9" s="185" t="n"/>
      <c r="F9" s="185" t="n"/>
      <c r="G9" s="185" t="n"/>
      <c r="H9" s="185" t="n"/>
      <c r="I9" s="185" t="n"/>
      <c r="J9" s="185" t="n"/>
      <c r="K9" s="185" t="n"/>
      <c r="L9" s="185" t="n"/>
      <c r="M9" s="186" t="n"/>
    </row>
    <row r="10" ht="27.75" customHeight="1" s="177">
      <c r="B10" s="154" t="inlineStr">
        <is>
          <t>Basis Data</t>
        </is>
      </c>
      <c r="C10" s="28" t="inlineStr">
        <is>
          <t>20%</t>
        </is>
      </c>
      <c r="D10" s="175" t="inlineStr">
        <is>
          <t>Skema ternormalisasi, query agregasi/filter, akses data rapi lewat repository</t>
        </is>
      </c>
      <c r="E10" s="185" t="n"/>
      <c r="F10" s="185" t="n"/>
      <c r="G10" s="185" t="n"/>
      <c r="H10" s="185" t="n"/>
      <c r="I10" s="185" t="n"/>
      <c r="J10" s="185" t="n"/>
      <c r="K10" s="185" t="n"/>
      <c r="L10" s="185" t="n"/>
      <c r="M10" s="186" t="n"/>
    </row>
    <row r="11" ht="27.75" customHeight="1" s="177">
      <c r="B11" s="159" t="inlineStr">
        <is>
          <t>Akurasi Perhitungan</t>
        </is>
      </c>
      <c r="C11" s="35" t="inlineStr">
        <is>
          <t>15%</t>
        </is>
      </c>
      <c r="D11" s="163" t="inlineStr">
        <is>
          <t>Hasil energi &amp; finansial tervalidasi terhadap PVGIS, asumsi ditampilkan terbuka</t>
        </is>
      </c>
      <c r="E11" s="185" t="n"/>
      <c r="F11" s="185" t="n"/>
      <c r="G11" s="185" t="n"/>
      <c r="H11" s="185" t="n"/>
      <c r="I11" s="185" t="n"/>
      <c r="J11" s="185" t="n"/>
      <c r="K11" s="185" t="n"/>
      <c r="L11" s="185" t="n"/>
      <c r="M11" s="186" t="n"/>
    </row>
    <row r="12" ht="27.75" customHeight="1" s="177">
      <c r="B12" s="154" t="inlineStr">
        <is>
          <t>Dokumentasi</t>
        </is>
      </c>
      <c r="C12" s="28" t="inlineStr">
        <is>
          <t>10%</t>
        </is>
      </c>
      <c r="D12" s="175" t="inlineStr">
        <is>
          <t>README, ERD, diagram, sumber data dan tarif tercatat</t>
        </is>
      </c>
      <c r="E12" s="185" t="n"/>
      <c r="F12" s="185" t="n"/>
      <c r="G12" s="185" t="n"/>
      <c r="H12" s="185" t="n"/>
      <c r="I12" s="185" t="n"/>
      <c r="J12" s="185" t="n"/>
      <c r="K12" s="185" t="n"/>
      <c r="L12" s="185" t="n"/>
      <c r="M12" s="186" t="n"/>
    </row>
    <row r="13" ht="27.75" customHeight="1" s="177">
      <c r="B13" s="159" t="inlineStr">
        <is>
          <t>Demo &amp; Presentasi</t>
        </is>
      </c>
      <c r="C13" s="35" t="inlineStr">
        <is>
          <t>10%</t>
        </is>
      </c>
      <c r="D13" s="163" t="inlineStr">
        <is>
          <t>Aplikasi jalan di laptop lain, demo terstruktur, tanya jawab lancar</t>
        </is>
      </c>
      <c r="E13" s="185" t="n"/>
      <c r="F13" s="185" t="n"/>
      <c r="G13" s="185" t="n"/>
      <c r="H13" s="185" t="n"/>
      <c r="I13" s="185" t="n"/>
      <c r="J13" s="185" t="n"/>
      <c r="K13" s="185" t="n"/>
      <c r="L13" s="185" t="n"/>
      <c r="M13" s="186" t="n"/>
    </row>
    <row r="16">
      <c r="B16" s="180" t="inlineStr">
        <is>
          <t>TEAM SELF-ASSESSMENT — Track our own progress against rubric</t>
        </is>
      </c>
    </row>
    <row r="17" ht="25.5" customHeight="1" s="177">
      <c r="B17" s="16" t="inlineStr">
        <is>
          <t>Criteria</t>
        </is>
      </c>
      <c r="C17" s="16" t="inlineStr">
        <is>
          <t>Weight</t>
        </is>
      </c>
      <c r="D17" s="16" t="inlineStr">
        <is>
          <t>Sprint 1</t>
        </is>
      </c>
      <c r="E17" s="16" t="inlineStr">
        <is>
          <t>Sprint 2</t>
        </is>
      </c>
      <c r="F17" s="16" t="inlineStr">
        <is>
          <t>Sprint 3</t>
        </is>
      </c>
      <c r="G17" s="16" t="inlineStr">
        <is>
          <t>Sprint 4</t>
        </is>
      </c>
      <c r="H17" s="16" t="inlineStr">
        <is>
          <t>Sprint 5</t>
        </is>
      </c>
      <c r="I17" s="16" t="inlineStr">
        <is>
          <t>Final Score</t>
        </is>
      </c>
      <c r="J17" s="16" t="inlineStr">
        <is>
          <t>Weighted</t>
        </is>
      </c>
      <c r="K17" s="231" t="inlineStr">
        <is>
          <t>Notes</t>
        </is>
      </c>
      <c r="L17" s="232" t="n"/>
      <c r="M17" s="232" t="n"/>
    </row>
    <row r="18" ht="24" customHeight="1" s="177">
      <c r="B18" s="52" t="inlineStr">
        <is>
          <t>Perancangan &amp; Arsitektur</t>
        </is>
      </c>
      <c r="C18" s="53" t="n">
        <v>0.2</v>
      </c>
      <c r="D18" s="157" t="n"/>
      <c r="E18" s="157" t="n"/>
      <c r="F18" s="157" t="n"/>
      <c r="G18" s="157" t="n"/>
      <c r="H18" s="157" t="n"/>
      <c r="I18" s="57">
        <f>IFERROR(AVERAGE(D18:H18),0)</f>
        <v/>
      </c>
      <c r="J18" s="60">
        <f>I18*C18</f>
        <v/>
      </c>
      <c r="K18" s="175" t="n"/>
      <c r="L18" s="185" t="n"/>
      <c r="M18" s="186" t="n"/>
    </row>
    <row r="19" ht="24" customHeight="1" s="177">
      <c r="B19" s="63" t="inlineStr">
        <is>
          <t>Implementasi OOP</t>
        </is>
      </c>
      <c r="C19" s="64" t="n">
        <v>0.25</v>
      </c>
      <c r="D19" s="162" t="n"/>
      <c r="E19" s="162" t="n"/>
      <c r="F19" s="162" t="n"/>
      <c r="G19" s="162" t="n"/>
      <c r="H19" s="162" t="n"/>
      <c r="I19" s="66">
        <f>IFERROR(AVERAGE(D19:H19),0)</f>
        <v/>
      </c>
      <c r="J19" s="69">
        <f>I19*C19</f>
        <v/>
      </c>
      <c r="K19" s="163" t="n"/>
      <c r="L19" s="185" t="n"/>
      <c r="M19" s="186" t="n"/>
    </row>
    <row r="20" ht="24" customHeight="1" s="177">
      <c r="B20" s="52" t="inlineStr">
        <is>
          <t>Basis Data</t>
        </is>
      </c>
      <c r="C20" s="53" t="n">
        <v>0.2</v>
      </c>
      <c r="D20" s="157" t="n"/>
      <c r="E20" s="157" t="n"/>
      <c r="F20" s="157" t="n"/>
      <c r="G20" s="157" t="n"/>
      <c r="H20" s="157" t="n"/>
      <c r="I20" s="57">
        <f>IFERROR(AVERAGE(D20:H20),0)</f>
        <v/>
      </c>
      <c r="J20" s="60">
        <f>I20*C20</f>
        <v/>
      </c>
      <c r="K20" s="175" t="n"/>
      <c r="L20" s="185" t="n"/>
      <c r="M20" s="186" t="n"/>
    </row>
    <row r="21" ht="24" customHeight="1" s="177">
      <c r="B21" s="63" t="inlineStr">
        <is>
          <t>Akurasi Perhitungan</t>
        </is>
      </c>
      <c r="C21" s="64" t="n">
        <v>0.15</v>
      </c>
      <c r="D21" s="162" t="n"/>
      <c r="E21" s="162" t="n"/>
      <c r="F21" s="162" t="n"/>
      <c r="G21" s="162" t="n"/>
      <c r="H21" s="162" t="n"/>
      <c r="I21" s="66">
        <f>IFERROR(AVERAGE(D21:H21),0)</f>
        <v/>
      </c>
      <c r="J21" s="69">
        <f>I21*C21</f>
        <v/>
      </c>
      <c r="K21" s="163" t="n"/>
      <c r="L21" s="185" t="n"/>
      <c r="M21" s="186" t="n"/>
    </row>
    <row r="22" ht="24" customHeight="1" s="177">
      <c r="B22" s="52" t="inlineStr">
        <is>
          <t>Dokumentasi</t>
        </is>
      </c>
      <c r="C22" s="53" t="n">
        <v>0.1</v>
      </c>
      <c r="D22" s="157" t="n"/>
      <c r="E22" s="157" t="n"/>
      <c r="F22" s="157" t="n"/>
      <c r="G22" s="157" t="n"/>
      <c r="H22" s="157" t="n"/>
      <c r="I22" s="57">
        <f>IFERROR(AVERAGE(D22:H22),0)</f>
        <v/>
      </c>
      <c r="J22" s="60">
        <f>I22*C22</f>
        <v/>
      </c>
      <c r="K22" s="175" t="n"/>
      <c r="L22" s="185" t="n"/>
      <c r="M22" s="186" t="n"/>
    </row>
    <row r="23" ht="24" customHeight="1" s="177">
      <c r="B23" s="63" t="inlineStr">
        <is>
          <t>Demo &amp; Presentasi</t>
        </is>
      </c>
      <c r="C23" s="64" t="n">
        <v>0.1</v>
      </c>
      <c r="D23" s="162" t="n"/>
      <c r="E23" s="162" t="n"/>
      <c r="F23" s="162" t="n"/>
      <c r="G23" s="162" t="n"/>
      <c r="H23" s="162" t="n"/>
      <c r="I23" s="66">
        <f>IFERROR(AVERAGE(D23:H23),0)</f>
        <v/>
      </c>
      <c r="J23" s="69">
        <f>I23*C23</f>
        <v/>
      </c>
      <c r="K23" s="163" t="n"/>
      <c r="L23" s="185" t="n"/>
      <c r="M23" s="186" t="n"/>
    </row>
    <row r="24" ht="30" customHeight="1" s="177">
      <c r="B24" s="77" t="inlineStr">
        <is>
          <t>TOTAL</t>
        </is>
      </c>
      <c r="C24" s="80">
        <f>SUM(C18:C23)</f>
        <v/>
      </c>
      <c r="D24" s="77" t="n"/>
      <c r="E24" s="77" t="n"/>
      <c r="F24" s="77" t="n"/>
      <c r="G24" s="77" t="n"/>
      <c r="H24" s="77" t="n"/>
      <c r="I24" s="77" t="inlineStr">
        <is>
          <t>FINAL</t>
        </is>
      </c>
      <c r="J24" s="82">
        <f>SUM(J18:J23)</f>
        <v/>
      </c>
      <c r="K24" s="77" t="n"/>
      <c r="L24" s="77" t="n"/>
      <c r="M24" s="77" t="n"/>
    </row>
    <row r="25" ht="15.75" customHeight="1" s="177"/>
    <row r="26" ht="15.75" customHeight="1" s="177">
      <c r="B26" s="180" t="inlineStr">
        <is>
          <t>LOG ASISTENSI &amp; REVIEW</t>
        </is>
      </c>
    </row>
    <row r="27" ht="24" customHeight="1" s="177">
      <c r="B27" s="86" t="inlineStr">
        <is>
          <t>#</t>
        </is>
      </c>
      <c r="C27" s="86" t="inlineStr">
        <is>
          <t>Tanggal</t>
        </is>
      </c>
      <c r="D27" s="86" t="inlineStr">
        <is>
          <t>Sprint</t>
        </is>
      </c>
      <c r="E27" s="86" t="inlineStr">
        <is>
          <t>Topik / Yang dibahas</t>
        </is>
      </c>
      <c r="F27" s="233" t="n"/>
      <c r="G27" s="86" t="inlineStr">
        <is>
          <t>Catatan asisten</t>
        </is>
      </c>
      <c r="H27" s="86" t="inlineStr">
        <is>
          <t>Tindak lanjut</t>
        </is>
      </c>
      <c r="I27" s="233" t="n"/>
      <c r="J27" s="86" t="inlineStr">
        <is>
          <t>PIC</t>
        </is>
      </c>
      <c r="K27" s="86" t="inlineStr">
        <is>
          <t>Deadline</t>
        </is>
      </c>
      <c r="L27" s="86" t="inlineStr">
        <is>
          <t>Status</t>
        </is>
      </c>
      <c r="M27" s="233" t="n"/>
    </row>
    <row r="28" ht="21.75" customHeight="1" s="177">
      <c r="B28" s="91" t="n">
        <v>1</v>
      </c>
      <c r="C28" s="91" t="n"/>
      <c r="D28" s="91" t="n"/>
      <c r="E28" s="91" t="n"/>
      <c r="F28" s="186" t="n"/>
      <c r="G28" s="91" t="n"/>
      <c r="H28" s="91" t="n"/>
      <c r="I28" s="186" t="n"/>
      <c r="J28" s="91" t="n"/>
      <c r="K28" s="91" t="n"/>
      <c r="L28" s="91" t="n"/>
      <c r="M28" s="186" t="n"/>
    </row>
    <row r="29" ht="21.75" customHeight="1" s="177">
      <c r="B29" s="95" t="n">
        <v>2</v>
      </c>
      <c r="C29" s="95" t="n"/>
      <c r="D29" s="95" t="n"/>
      <c r="E29" s="95" t="n"/>
      <c r="F29" s="186" t="n"/>
      <c r="G29" s="95" t="n"/>
      <c r="H29" s="95" t="n"/>
      <c r="I29" s="186" t="n"/>
      <c r="J29" s="95" t="n"/>
      <c r="K29" s="95" t="n"/>
      <c r="L29" s="95" t="n"/>
      <c r="M29" s="186" t="n"/>
    </row>
    <row r="30" ht="21.75" customHeight="1" s="177">
      <c r="B30" s="91" t="n">
        <v>3</v>
      </c>
      <c r="C30" s="91" t="n"/>
      <c r="D30" s="91" t="n"/>
      <c r="E30" s="91" t="n"/>
      <c r="F30" s="186" t="n"/>
      <c r="G30" s="91" t="n"/>
      <c r="H30" s="91" t="n"/>
      <c r="I30" s="186" t="n"/>
      <c r="J30" s="91" t="n"/>
      <c r="K30" s="91" t="n"/>
      <c r="L30" s="91" t="n"/>
      <c r="M30" s="186" t="n"/>
    </row>
    <row r="31" ht="21.75" customHeight="1" s="177">
      <c r="B31" s="95" t="n">
        <v>4</v>
      </c>
      <c r="C31" s="95" t="n"/>
      <c r="D31" s="95" t="n"/>
      <c r="E31" s="95" t="n"/>
      <c r="F31" s="186" t="n"/>
      <c r="G31" s="95" t="n"/>
      <c r="H31" s="95" t="n"/>
      <c r="I31" s="186" t="n"/>
      <c r="J31" s="95" t="n"/>
      <c r="K31" s="95" t="n"/>
      <c r="L31" s="95" t="n"/>
      <c r="M31" s="186" t="n"/>
    </row>
    <row r="32" ht="21.75" customHeight="1" s="177">
      <c r="B32" s="91" t="n">
        <v>5</v>
      </c>
      <c r="C32" s="91" t="n"/>
      <c r="D32" s="91" t="n"/>
      <c r="E32" s="91" t="n"/>
      <c r="F32" s="186" t="n"/>
      <c r="G32" s="91" t="n"/>
      <c r="H32" s="91" t="n"/>
      <c r="I32" s="186" t="n"/>
      <c r="J32" s="91" t="n"/>
      <c r="K32" s="91" t="n"/>
      <c r="L32" s="91" t="n"/>
      <c r="M32" s="186" t="n"/>
    </row>
    <row r="33" ht="21.75" customHeight="1" s="177">
      <c r="B33" s="95" t="n">
        <v>6</v>
      </c>
      <c r="C33" s="95" t="n"/>
      <c r="D33" s="95" t="n"/>
      <c r="E33" s="95" t="n"/>
      <c r="F33" s="186" t="n"/>
      <c r="G33" s="95" t="n"/>
      <c r="H33" s="95" t="n"/>
      <c r="I33" s="186" t="n"/>
      <c r="J33" s="95" t="n"/>
      <c r="K33" s="95" t="n"/>
      <c r="L33" s="95" t="n"/>
      <c r="M33" s="186" t="n"/>
    </row>
    <row r="34" ht="21.75" customHeight="1" s="177">
      <c r="B34" s="91" t="n">
        <v>7</v>
      </c>
      <c r="C34" s="91" t="n"/>
      <c r="D34" s="91" t="n"/>
      <c r="E34" s="91" t="n"/>
      <c r="F34" s="186" t="n"/>
      <c r="G34" s="91" t="n"/>
      <c r="H34" s="91" t="n"/>
      <c r="I34" s="186" t="n"/>
      <c r="J34" s="91" t="n"/>
      <c r="K34" s="91" t="n"/>
      <c r="L34" s="91" t="n"/>
      <c r="M34" s="186" t="n"/>
    </row>
    <row r="35" ht="21.75" customHeight="1" s="177">
      <c r="B35" s="95" t="n">
        <v>8</v>
      </c>
      <c r="C35" s="95" t="n"/>
      <c r="D35" s="95" t="n"/>
      <c r="E35" s="95" t="n"/>
      <c r="F35" s="186" t="n"/>
      <c r="G35" s="95" t="n"/>
      <c r="H35" s="95" t="n"/>
      <c r="I35" s="186" t="n"/>
      <c r="J35" s="95" t="n"/>
      <c r="K35" s="95" t="n"/>
      <c r="L35" s="95" t="n"/>
      <c r="M35" s="186" t="n"/>
    </row>
    <row r="36" ht="15.75" customHeight="1" s="177"/>
    <row r="37" ht="15.75" customHeight="1" s="177"/>
    <row r="38" ht="15.75" customHeight="1" s="177"/>
    <row r="39" ht="15.75" customHeight="1" s="177"/>
    <row r="40" ht="15.75" customHeight="1" s="177"/>
    <row r="41" ht="15.75" customHeight="1" s="177"/>
    <row r="42" ht="15.75" customHeight="1" s="177"/>
    <row r="43" ht="15.75" customHeight="1" s="177"/>
    <row r="44" ht="15.75" customHeight="1" s="177"/>
    <row r="45" ht="15.75" customHeight="1" s="177"/>
    <row r="46" ht="15.75" customHeight="1" s="177"/>
    <row r="47" ht="15.75" customHeight="1" s="177"/>
    <row r="48" ht="15.75" customHeight="1" s="177"/>
    <row r="49" ht="15.75" customHeight="1" s="177"/>
    <row r="50" ht="15.75" customHeight="1" s="177"/>
    <row r="51" ht="15.75" customHeight="1" s="177"/>
    <row r="52" ht="15.75" customHeight="1" s="177"/>
    <row r="53" ht="15.75" customHeight="1" s="177"/>
    <row r="54" ht="15.75" customHeight="1" s="177"/>
    <row r="55" ht="15.75" customHeight="1" s="177"/>
    <row r="56" ht="15.75" customHeight="1" s="177"/>
    <row r="57" ht="15.75" customHeight="1" s="177"/>
    <row r="58" ht="15.75" customHeight="1" s="177"/>
    <row r="59" ht="15.75" customHeight="1" s="177"/>
    <row r="60" ht="15.75" customHeight="1" s="177"/>
    <row r="61" ht="15.75" customHeight="1" s="177"/>
    <row r="62" ht="15.75" customHeight="1" s="177"/>
    <row r="63" ht="15.75" customHeight="1" s="177"/>
    <row r="64" ht="15.75" customHeight="1" s="177"/>
    <row r="65" ht="15.75" customHeight="1" s="177"/>
    <row r="66" ht="15.75" customHeight="1" s="177"/>
    <row r="67" ht="15.75" customHeight="1" s="177"/>
    <row r="68" ht="15.75" customHeight="1" s="177"/>
    <row r="69" ht="15.75" customHeight="1" s="177"/>
    <row r="70" ht="15.75" customHeight="1" s="177"/>
    <row r="71" ht="15.75" customHeight="1" s="177"/>
    <row r="72" ht="15.75" customHeight="1" s="177"/>
    <row r="73" ht="15.75" customHeight="1" s="177"/>
    <row r="74" ht="15.75" customHeight="1" s="177"/>
    <row r="75" ht="15.75" customHeight="1" s="177"/>
    <row r="76" ht="15.75" customHeight="1" s="177"/>
    <row r="77" ht="15.75" customHeight="1" s="177"/>
    <row r="78" ht="15.75" customHeight="1" s="177"/>
    <row r="79" ht="15.75" customHeight="1" s="177"/>
    <row r="80" ht="15.75" customHeight="1" s="177"/>
    <row r="81" ht="15.75" customHeight="1" s="177"/>
    <row r="82" ht="15.75" customHeight="1" s="177"/>
    <row r="83" ht="15.75" customHeight="1" s="177"/>
    <row r="84" ht="15.75" customHeight="1" s="177"/>
    <row r="85" ht="15.75" customHeight="1" s="177"/>
    <row r="86" ht="15.75" customHeight="1" s="177"/>
    <row r="87" ht="15.75" customHeight="1" s="177"/>
    <row r="88" ht="15.75" customHeight="1" s="177"/>
    <row r="89" ht="15.75" customHeight="1" s="177"/>
    <row r="90" ht="15.75" customHeight="1" s="177"/>
    <row r="91" ht="15.75" customHeight="1" s="177"/>
    <row r="92" ht="15.75" customHeight="1" s="177"/>
    <row r="93" ht="15.75" customHeight="1" s="177"/>
    <row r="94" ht="15.75" customHeight="1" s="177"/>
    <row r="95" ht="15.75" customHeight="1" s="177"/>
    <row r="96" ht="15.75" customHeight="1" s="177"/>
    <row r="97" ht="15.75" customHeight="1" s="177"/>
    <row r="98" ht="15.75" customHeight="1" s="177"/>
    <row r="99" ht="15.75" customHeight="1" s="177"/>
    <row r="100" ht="15.75" customHeight="1" s="177"/>
    <row r="101" ht="15.75" customHeight="1" s="177"/>
    <row r="102" ht="15.75" customHeight="1" s="177"/>
    <row r="103" ht="15.75" customHeight="1" s="177"/>
    <row r="104" ht="15.75" customHeight="1" s="177"/>
    <row r="105" ht="15.75" customHeight="1" s="177"/>
    <row r="106" ht="15.75" customHeight="1" s="177"/>
    <row r="107" ht="15.75" customHeight="1" s="177"/>
    <row r="108" ht="15.75" customHeight="1" s="177"/>
    <row r="109" ht="15.75" customHeight="1" s="177"/>
    <row r="110" ht="15.75" customHeight="1" s="177"/>
    <row r="111" ht="15.75" customHeight="1" s="177"/>
    <row r="112" ht="15.75" customHeight="1" s="177"/>
    <row r="113" ht="15.75" customHeight="1" s="177"/>
    <row r="114" ht="15.75" customHeight="1" s="177"/>
    <row r="115" ht="15.75" customHeight="1" s="177"/>
    <row r="116" ht="15.75" customHeight="1" s="177"/>
    <row r="117" ht="15.75" customHeight="1" s="177"/>
    <row r="118" ht="15.75" customHeight="1" s="177"/>
    <row r="119" ht="15.75" customHeight="1" s="177"/>
    <row r="120" ht="15.75" customHeight="1" s="177"/>
    <row r="121" ht="15.75" customHeight="1" s="177"/>
    <row r="122" ht="15.75" customHeight="1" s="177"/>
    <row r="123" ht="15.75" customHeight="1" s="177"/>
    <row r="124" ht="15.75" customHeight="1" s="177"/>
    <row r="125" ht="15.75" customHeight="1" s="177"/>
    <row r="126" ht="15.75" customHeight="1" s="177"/>
    <row r="127" ht="15.75" customHeight="1" s="177"/>
    <row r="128" ht="15.75" customHeight="1" s="177"/>
    <row r="129" ht="15.75" customHeight="1" s="177"/>
    <row r="130" ht="15.75" customHeight="1" s="177"/>
    <row r="131" ht="15.75" customHeight="1" s="177"/>
    <row r="132" ht="15.75" customHeight="1" s="177"/>
    <row r="133" ht="15.75" customHeight="1" s="177"/>
    <row r="134" ht="15.75" customHeight="1" s="177"/>
    <row r="135" ht="15.75" customHeight="1" s="177"/>
    <row r="136" ht="15.75" customHeight="1" s="177"/>
    <row r="137" ht="15.75" customHeight="1" s="177"/>
    <row r="138" ht="15.75" customHeight="1" s="177"/>
    <row r="139" ht="15.75" customHeight="1" s="177"/>
    <row r="140" ht="15.75" customHeight="1" s="177"/>
    <row r="141" ht="15.75" customHeight="1" s="177"/>
    <row r="142" ht="15.75" customHeight="1" s="177"/>
    <row r="143" ht="15.75" customHeight="1" s="177"/>
    <row r="144" ht="15.75" customHeight="1" s="177"/>
    <row r="145" ht="15.75" customHeight="1" s="177"/>
    <row r="146" ht="15.75" customHeight="1" s="177"/>
    <row r="147" ht="15.75" customHeight="1" s="177"/>
    <row r="148" ht="15.75" customHeight="1" s="177"/>
    <row r="149" ht="15.75" customHeight="1" s="177"/>
    <row r="150" ht="15.75" customHeight="1" s="177"/>
    <row r="151" ht="15.75" customHeight="1" s="177"/>
    <row r="152" ht="15.75" customHeight="1" s="177"/>
    <row r="153" ht="15.75" customHeight="1" s="177"/>
    <row r="154" ht="15.75" customHeight="1" s="177"/>
    <row r="155" ht="15.75" customHeight="1" s="177"/>
    <row r="156" ht="15.75" customHeight="1" s="177"/>
    <row r="157" ht="15.75" customHeight="1" s="177"/>
    <row r="158" ht="15.75" customHeight="1" s="177"/>
    <row r="159" ht="15.75" customHeight="1" s="177"/>
    <row r="160" ht="15.75" customHeight="1" s="177"/>
    <row r="161" ht="15.75" customHeight="1" s="177"/>
    <row r="162" ht="15.75" customHeight="1" s="177"/>
    <row r="163" ht="15.75" customHeight="1" s="177"/>
    <row r="164" ht="15.75" customHeight="1" s="177"/>
    <row r="165" ht="15.75" customHeight="1" s="177"/>
    <row r="166" ht="15.75" customHeight="1" s="177"/>
    <row r="167" ht="15.75" customHeight="1" s="177"/>
    <row r="168" ht="15.75" customHeight="1" s="177"/>
    <row r="169" ht="15.75" customHeight="1" s="177"/>
    <row r="170" ht="15.75" customHeight="1" s="177"/>
    <row r="171" ht="15.75" customHeight="1" s="177"/>
    <row r="172" ht="15.75" customHeight="1" s="177"/>
    <row r="173" ht="15.75" customHeight="1" s="177"/>
    <row r="174" ht="15.75" customHeight="1" s="177"/>
    <row r="175" ht="15.75" customHeight="1" s="177"/>
    <row r="176" ht="15.75" customHeight="1" s="177"/>
    <row r="177" ht="15.75" customHeight="1" s="177"/>
    <row r="178" ht="15.75" customHeight="1" s="177"/>
    <row r="179" ht="15.75" customHeight="1" s="177"/>
    <row r="180" ht="15.75" customHeight="1" s="177"/>
    <row r="181" ht="15.75" customHeight="1" s="177"/>
    <row r="182" ht="15.75" customHeight="1" s="177"/>
    <row r="183" ht="15.75" customHeight="1" s="177"/>
    <row r="184" ht="15.75" customHeight="1" s="177"/>
    <row r="185" ht="15.75" customHeight="1" s="177"/>
    <row r="186" ht="15.75" customHeight="1" s="177"/>
    <row r="187" ht="15.75" customHeight="1" s="177"/>
    <row r="188" ht="15.75" customHeight="1" s="177"/>
    <row r="189" ht="15.75" customHeight="1" s="177"/>
    <row r="190" ht="15.75" customHeight="1" s="177"/>
    <row r="191" ht="15.75" customHeight="1" s="177"/>
    <row r="192" ht="15.75" customHeight="1" s="177"/>
    <row r="193" ht="15.75" customHeight="1" s="177"/>
    <row r="194" ht="15.75" customHeight="1" s="177"/>
    <row r="195" ht="15.75" customHeight="1" s="177"/>
    <row r="196" ht="15.75" customHeight="1" s="177"/>
    <row r="197" ht="15.75" customHeight="1" s="177"/>
    <row r="198" ht="15.75" customHeight="1" s="177"/>
    <row r="199" ht="15.75" customHeight="1" s="177"/>
    <row r="200" ht="15.75" customHeight="1" s="177"/>
    <row r="201" ht="15.75" customHeight="1" s="177"/>
    <row r="202" ht="15.75" customHeight="1" s="177"/>
    <row r="203" ht="15.75" customHeight="1" s="177"/>
    <row r="204" ht="15.75" customHeight="1" s="177"/>
    <row r="205" ht="15.75" customHeight="1" s="177"/>
    <row r="206" ht="15.75" customHeight="1" s="177"/>
    <row r="207" ht="15.75" customHeight="1" s="177"/>
    <row r="208" ht="15.75" customHeight="1" s="177"/>
    <row r="209" ht="15.75" customHeight="1" s="177"/>
    <row r="210" ht="15.75" customHeight="1" s="177"/>
    <row r="211" ht="15.75" customHeight="1" s="177"/>
    <row r="212" ht="15.75" customHeight="1" s="177"/>
    <row r="213" ht="15.75" customHeight="1" s="177"/>
    <row r="214" ht="15.75" customHeight="1" s="177"/>
    <row r="215" ht="15.75" customHeight="1" s="177"/>
    <row r="216" ht="15.75" customHeight="1" s="177"/>
    <row r="217" ht="15.75" customHeight="1" s="177"/>
    <row r="218" ht="15.75" customHeight="1" s="177"/>
    <row r="219" ht="15.75" customHeight="1" s="177"/>
    <row r="220" ht="15.75" customHeight="1" s="177"/>
    <row r="221" ht="15.75" customHeight="1" s="177"/>
    <row r="222" ht="15.75" customHeight="1" s="177"/>
    <row r="223" ht="15.75" customHeight="1" s="177"/>
    <row r="224" ht="15.75" customHeight="1" s="177"/>
    <row r="225" ht="15.75" customHeight="1" s="177"/>
    <row r="226" ht="15.75" customHeight="1" s="177"/>
    <row r="227" ht="15.75" customHeight="1" s="177"/>
    <row r="228" ht="15.75" customHeight="1" s="177"/>
    <row r="229" ht="15.75" customHeight="1" s="177"/>
    <row r="230" ht="15.75" customHeight="1" s="177"/>
    <row r="231" ht="15.75" customHeight="1" s="177"/>
    <row r="232" ht="15.75" customHeight="1" s="177"/>
    <row r="233" ht="15.75" customHeight="1" s="177"/>
    <row r="234" ht="15.75" customHeight="1" s="177"/>
    <row r="235" ht="15.75" customHeight="1" s="177"/>
    <row r="236" ht="15.75" customHeight="1" s="177"/>
    <row r="237" ht="15.75" customHeight="1" s="177"/>
    <row r="238" ht="15.75" customHeight="1" s="177"/>
    <row r="239" ht="15.75" customHeight="1" s="177"/>
    <row r="240" ht="15.75" customHeight="1" s="177"/>
    <row r="241" ht="15.75" customHeight="1" s="177"/>
    <row r="242" ht="15.75" customHeight="1" s="177"/>
    <row r="243" ht="15.75" customHeight="1" s="177"/>
    <row r="244" ht="15.75" customHeight="1" s="177"/>
    <row r="245" ht="15.75" customHeight="1" s="177"/>
    <row r="246" ht="15.75" customHeight="1" s="177"/>
    <row r="247" ht="15.75" customHeight="1" s="177"/>
    <row r="248" ht="15.75" customHeight="1" s="177"/>
    <row r="249" ht="15.75" customHeight="1" s="177"/>
    <row r="250" ht="15.75" customHeight="1" s="177"/>
    <row r="251" ht="15.75" customHeight="1" s="177"/>
    <row r="252" ht="15.75" customHeight="1" s="177"/>
    <row r="253" ht="15.75" customHeight="1" s="177"/>
    <row r="254" ht="15.75" customHeight="1" s="177"/>
    <row r="255" ht="15.75" customHeight="1" s="177"/>
    <row r="256" ht="15.75" customHeight="1" s="177"/>
    <row r="257" ht="15.75" customHeight="1" s="177"/>
    <row r="258" ht="15.75" customHeight="1" s="177"/>
    <row r="259" ht="15.75" customHeight="1" s="177"/>
    <row r="260" ht="15.75" customHeight="1" s="177"/>
    <row r="261" ht="15.75" customHeight="1" s="177"/>
    <row r="262" ht="15.75" customHeight="1" s="177"/>
    <row r="263" ht="15.75" customHeight="1" s="177"/>
    <row r="264" ht="15.75" customHeight="1" s="177"/>
    <row r="265" ht="15.75" customHeight="1" s="177"/>
    <row r="266" ht="15.75" customHeight="1" s="177"/>
    <row r="267" ht="15.75" customHeight="1" s="177"/>
    <row r="268" ht="15.75" customHeight="1" s="177"/>
    <row r="269" ht="15.75" customHeight="1" s="177"/>
    <row r="270" ht="15.75" customHeight="1" s="177"/>
    <row r="271" ht="15.75" customHeight="1" s="177"/>
    <row r="272" ht="15.75" customHeight="1" s="177"/>
    <row r="273" ht="15.75" customHeight="1" s="177"/>
    <row r="274" ht="15.75" customHeight="1" s="177"/>
    <row r="275" ht="15.75" customHeight="1" s="177"/>
    <row r="276" ht="15.75" customHeight="1" s="177"/>
    <row r="277" ht="15.75" customHeight="1" s="177"/>
    <row r="278" ht="15.75" customHeight="1" s="177"/>
    <row r="279" ht="15.75" customHeight="1" s="177"/>
    <row r="280" ht="15.75" customHeight="1" s="177"/>
    <row r="281" ht="15.75" customHeight="1" s="177"/>
    <row r="282" ht="15.75" customHeight="1" s="177"/>
    <row r="283" ht="15.75" customHeight="1" s="177"/>
    <row r="284" ht="15.75" customHeight="1" s="177"/>
    <row r="285" ht="15.75" customHeight="1" s="177"/>
    <row r="286" ht="15.75" customHeight="1" s="177"/>
    <row r="287" ht="15.75" customHeight="1" s="177"/>
    <row r="288" ht="15.75" customHeight="1" s="177"/>
    <row r="289" ht="15.75" customHeight="1" s="177"/>
    <row r="290" ht="15.75" customHeight="1" s="177"/>
    <row r="291" ht="15.75" customHeight="1" s="177"/>
    <row r="292" ht="15.75" customHeight="1" s="177"/>
    <row r="293" ht="15.75" customHeight="1" s="177"/>
    <row r="294" ht="15.75" customHeight="1" s="177"/>
    <row r="295" ht="15.75" customHeight="1" s="177"/>
    <row r="296" ht="15.75" customHeight="1" s="177"/>
    <row r="297" ht="15.75" customHeight="1" s="177"/>
    <row r="298" ht="15.75" customHeight="1" s="177"/>
    <row r="299" ht="15.75" customHeight="1" s="177"/>
    <row r="300" ht="15.75" customHeight="1" s="177"/>
    <row r="301" ht="15.75" customHeight="1" s="177"/>
    <row r="302" ht="15.75" customHeight="1" s="177"/>
    <row r="303" ht="15.75" customHeight="1" s="177"/>
    <row r="304" ht="15.75" customHeight="1" s="177"/>
    <row r="305" ht="15.75" customHeight="1" s="177"/>
    <row r="306" ht="15.75" customHeight="1" s="177"/>
    <row r="307" ht="15.75" customHeight="1" s="177"/>
    <row r="308" ht="15.75" customHeight="1" s="177"/>
    <row r="309" ht="15.75" customHeight="1" s="177"/>
    <row r="310" ht="15.75" customHeight="1" s="177"/>
    <row r="311" ht="15.75" customHeight="1" s="177"/>
    <row r="312" ht="15.75" customHeight="1" s="177"/>
    <row r="313" ht="15.75" customHeight="1" s="177"/>
    <row r="314" ht="15.75" customHeight="1" s="177"/>
    <row r="315" ht="15.75" customHeight="1" s="177"/>
    <row r="316" ht="15.75" customHeight="1" s="177"/>
    <row r="317" ht="15.75" customHeight="1" s="177"/>
    <row r="318" ht="15.75" customHeight="1" s="177"/>
    <row r="319" ht="15.75" customHeight="1" s="177"/>
    <row r="320" ht="15.75" customHeight="1" s="177"/>
    <row r="321" ht="15.75" customHeight="1" s="177"/>
    <row r="322" ht="15.75" customHeight="1" s="177"/>
    <row r="323" ht="15.75" customHeight="1" s="177"/>
    <row r="324" ht="15.75" customHeight="1" s="177"/>
    <row r="325" ht="15.75" customHeight="1" s="177"/>
    <row r="326" ht="15.75" customHeight="1" s="177"/>
    <row r="327" ht="15.75" customHeight="1" s="177"/>
    <row r="328" ht="15.75" customHeight="1" s="177"/>
    <row r="329" ht="15.75" customHeight="1" s="177"/>
    <row r="330" ht="15.75" customHeight="1" s="177"/>
    <row r="331" ht="15.75" customHeight="1" s="177"/>
    <row r="332" ht="15.75" customHeight="1" s="177"/>
    <row r="333" ht="15.75" customHeight="1" s="177"/>
    <row r="334" ht="15.75" customHeight="1" s="177"/>
    <row r="335" ht="15.75" customHeight="1" s="177"/>
    <row r="336" ht="15.75" customHeight="1" s="177"/>
    <row r="337" ht="15.75" customHeight="1" s="177"/>
    <row r="338" ht="15.75" customHeight="1" s="177"/>
    <row r="339" ht="15.75" customHeight="1" s="177"/>
    <row r="340" ht="15.75" customHeight="1" s="177"/>
    <row r="341" ht="15.75" customHeight="1" s="177"/>
    <row r="342" ht="15.75" customHeight="1" s="177"/>
    <row r="343" ht="15.75" customHeight="1" s="177"/>
    <row r="344" ht="15.75" customHeight="1" s="177"/>
    <row r="345" ht="15.75" customHeight="1" s="177"/>
    <row r="346" ht="15.75" customHeight="1" s="177"/>
    <row r="347" ht="15.75" customHeight="1" s="177"/>
    <row r="348" ht="15.75" customHeight="1" s="177"/>
    <row r="349" ht="15.75" customHeight="1" s="177"/>
    <row r="350" ht="15.75" customHeight="1" s="177"/>
    <row r="351" ht="15.75" customHeight="1" s="177"/>
    <row r="352" ht="15.75" customHeight="1" s="177"/>
    <row r="353" ht="15.75" customHeight="1" s="177"/>
    <row r="354" ht="15.75" customHeight="1" s="177"/>
    <row r="355" ht="15.75" customHeight="1" s="177"/>
    <row r="356" ht="15.75" customHeight="1" s="177"/>
    <row r="357" ht="15.75" customHeight="1" s="177"/>
    <row r="358" ht="15.75" customHeight="1" s="177"/>
    <row r="359" ht="15.75" customHeight="1" s="177"/>
    <row r="360" ht="15.75" customHeight="1" s="177"/>
    <row r="361" ht="15.75" customHeight="1" s="177"/>
    <row r="362" ht="15.75" customHeight="1" s="177"/>
    <row r="363" ht="15.75" customHeight="1" s="177"/>
    <row r="364" ht="15.75" customHeight="1" s="177"/>
    <row r="365" ht="15.75" customHeight="1" s="177"/>
    <row r="366" ht="15.75" customHeight="1" s="177"/>
    <row r="367" ht="15.75" customHeight="1" s="177"/>
    <row r="368" ht="15.75" customHeight="1" s="177"/>
    <row r="369" ht="15.75" customHeight="1" s="177"/>
    <row r="370" ht="15.75" customHeight="1" s="177"/>
    <row r="371" ht="15.75" customHeight="1" s="177"/>
    <row r="372" ht="15.75" customHeight="1" s="177"/>
    <row r="373" ht="15.75" customHeight="1" s="177"/>
    <row r="374" ht="15.75" customHeight="1" s="177"/>
    <row r="375" ht="15.75" customHeight="1" s="177"/>
    <row r="376" ht="15.75" customHeight="1" s="177"/>
    <row r="377" ht="15.75" customHeight="1" s="177"/>
    <row r="378" ht="15.75" customHeight="1" s="177"/>
    <row r="379" ht="15.75" customHeight="1" s="177"/>
    <row r="380" ht="15.75" customHeight="1" s="177"/>
    <row r="381" ht="15.75" customHeight="1" s="177"/>
    <row r="382" ht="15.75" customHeight="1" s="177"/>
    <row r="383" ht="15.75" customHeight="1" s="177"/>
    <row r="384" ht="15.75" customHeight="1" s="177"/>
    <row r="385" ht="15.75" customHeight="1" s="177"/>
    <row r="386" ht="15.75" customHeight="1" s="177"/>
    <row r="387" ht="15.75" customHeight="1" s="177"/>
    <row r="388" ht="15.75" customHeight="1" s="177"/>
    <row r="389" ht="15.75" customHeight="1" s="177"/>
    <row r="390" ht="15.75" customHeight="1" s="177"/>
    <row r="391" ht="15.75" customHeight="1" s="177"/>
    <row r="392" ht="15.75" customHeight="1" s="177"/>
    <row r="393" ht="15.75" customHeight="1" s="177"/>
    <row r="394" ht="15.75" customHeight="1" s="177"/>
    <row r="395" ht="15.75" customHeight="1" s="177"/>
    <row r="396" ht="15.75" customHeight="1" s="177"/>
    <row r="397" ht="15.75" customHeight="1" s="177"/>
    <row r="398" ht="15.75" customHeight="1" s="177"/>
    <row r="399" ht="15.75" customHeight="1" s="177"/>
    <row r="400" ht="15.75" customHeight="1" s="177"/>
    <row r="401" ht="15.75" customHeight="1" s="177"/>
    <row r="402" ht="15.75" customHeight="1" s="177"/>
    <row r="403" ht="15.75" customHeight="1" s="177"/>
    <row r="404" ht="15.75" customHeight="1" s="177"/>
    <row r="405" ht="15.75" customHeight="1" s="177"/>
    <row r="406" ht="15.75" customHeight="1" s="177"/>
    <row r="407" ht="15.75" customHeight="1" s="177"/>
    <row r="408" ht="15.75" customHeight="1" s="177"/>
    <row r="409" ht="15.75" customHeight="1" s="177"/>
    <row r="410" ht="15.75" customHeight="1" s="177"/>
    <row r="411" ht="15.75" customHeight="1" s="177"/>
    <row r="412" ht="15.75" customHeight="1" s="177"/>
    <row r="413" ht="15.75" customHeight="1" s="177"/>
    <row r="414" ht="15.75" customHeight="1" s="177"/>
    <row r="415" ht="15.75" customHeight="1" s="177"/>
    <row r="416" ht="15.75" customHeight="1" s="177"/>
    <row r="417" ht="15.75" customHeight="1" s="177"/>
    <row r="418" ht="15.75" customHeight="1" s="177"/>
    <row r="419" ht="15.75" customHeight="1" s="177"/>
    <row r="420" ht="15.75" customHeight="1" s="177"/>
    <row r="421" ht="15.75" customHeight="1" s="177"/>
    <row r="422" ht="15.75" customHeight="1" s="177"/>
    <row r="423" ht="15.75" customHeight="1" s="177"/>
    <row r="424" ht="15.75" customHeight="1" s="177"/>
    <row r="425" ht="15.75" customHeight="1" s="177"/>
    <row r="426" ht="15.75" customHeight="1" s="177"/>
    <row r="427" ht="15.75" customHeight="1" s="177"/>
    <row r="428" ht="15.75" customHeight="1" s="177"/>
    <row r="429" ht="15.75" customHeight="1" s="177"/>
    <row r="430" ht="15.75" customHeight="1" s="177"/>
    <row r="431" ht="15.75" customHeight="1" s="177"/>
    <row r="432" ht="15.75" customHeight="1" s="177"/>
    <row r="433" ht="15.75" customHeight="1" s="177"/>
    <row r="434" ht="15.75" customHeight="1" s="177"/>
    <row r="435" ht="15.75" customHeight="1" s="177"/>
    <row r="436" ht="15.75" customHeight="1" s="177"/>
    <row r="437" ht="15.75" customHeight="1" s="177"/>
    <row r="438" ht="15.75" customHeight="1" s="177"/>
    <row r="439" ht="15.75" customHeight="1" s="177"/>
    <row r="440" ht="15.75" customHeight="1" s="177"/>
    <row r="441" ht="15.75" customHeight="1" s="177"/>
    <row r="442" ht="15.75" customHeight="1" s="177"/>
    <row r="443" ht="15.75" customHeight="1" s="177"/>
    <row r="444" ht="15.75" customHeight="1" s="177"/>
    <row r="445" ht="15.75" customHeight="1" s="177"/>
    <row r="446" ht="15.75" customHeight="1" s="177"/>
    <row r="447" ht="15.75" customHeight="1" s="177"/>
    <row r="448" ht="15.75" customHeight="1" s="177"/>
    <row r="449" ht="15.75" customHeight="1" s="177"/>
    <row r="450" ht="15.75" customHeight="1" s="177"/>
    <row r="451" ht="15.75" customHeight="1" s="177"/>
    <row r="452" ht="15.75" customHeight="1" s="177"/>
    <row r="453" ht="15.75" customHeight="1" s="177"/>
    <row r="454" ht="15.75" customHeight="1" s="177"/>
    <row r="455" ht="15.75" customHeight="1" s="177"/>
    <row r="456" ht="15.75" customHeight="1" s="177"/>
    <row r="457" ht="15.75" customHeight="1" s="177"/>
    <row r="458" ht="15.75" customHeight="1" s="177"/>
    <row r="459" ht="15.75" customHeight="1" s="177"/>
    <row r="460" ht="15.75" customHeight="1" s="177"/>
    <row r="461" ht="15.75" customHeight="1" s="177"/>
    <row r="462" ht="15.75" customHeight="1" s="177"/>
    <row r="463" ht="15.75" customHeight="1" s="177"/>
    <row r="464" ht="15.75" customHeight="1" s="177"/>
    <row r="465" ht="15.75" customHeight="1" s="177"/>
    <row r="466" ht="15.75" customHeight="1" s="177"/>
    <row r="467" ht="15.75" customHeight="1" s="177"/>
    <row r="468" ht="15.75" customHeight="1" s="177"/>
    <row r="469" ht="15.75" customHeight="1" s="177"/>
    <row r="470" ht="15.75" customHeight="1" s="177"/>
    <row r="471" ht="15.75" customHeight="1" s="177"/>
    <row r="472" ht="15.75" customHeight="1" s="177"/>
    <row r="473" ht="15.75" customHeight="1" s="177"/>
    <row r="474" ht="15.75" customHeight="1" s="177"/>
    <row r="475" ht="15.75" customHeight="1" s="177"/>
    <row r="476" ht="15.75" customHeight="1" s="177"/>
    <row r="477" ht="15.75" customHeight="1" s="177"/>
    <row r="478" ht="15.75" customHeight="1" s="177"/>
    <row r="479" ht="15.75" customHeight="1" s="177"/>
    <row r="480" ht="15.75" customHeight="1" s="177"/>
    <row r="481" ht="15.75" customHeight="1" s="177"/>
    <row r="482" ht="15.75" customHeight="1" s="177"/>
    <row r="483" ht="15.75" customHeight="1" s="177"/>
    <row r="484" ht="15.75" customHeight="1" s="177"/>
    <row r="485" ht="15.75" customHeight="1" s="177"/>
    <row r="486" ht="15.75" customHeight="1" s="177"/>
    <row r="487" ht="15.75" customHeight="1" s="177"/>
    <row r="488" ht="15.75" customHeight="1" s="177"/>
    <row r="489" ht="15.75" customHeight="1" s="177"/>
    <row r="490" ht="15.75" customHeight="1" s="177"/>
    <row r="491" ht="15.75" customHeight="1" s="177"/>
    <row r="492" ht="15.75" customHeight="1" s="177"/>
    <row r="493" ht="15.75" customHeight="1" s="177"/>
    <row r="494" ht="15.75" customHeight="1" s="177"/>
    <row r="495" ht="15.75" customHeight="1" s="177"/>
    <row r="496" ht="15.75" customHeight="1" s="177"/>
    <row r="497" ht="15.75" customHeight="1" s="177"/>
    <row r="498" ht="15.75" customHeight="1" s="177"/>
    <row r="499" ht="15.75" customHeight="1" s="177"/>
    <row r="500" ht="15.75" customHeight="1" s="177"/>
    <row r="501" ht="15.75" customHeight="1" s="177"/>
    <row r="502" ht="15.75" customHeight="1" s="177"/>
    <row r="503" ht="15.75" customHeight="1" s="177"/>
    <row r="504" ht="15.75" customHeight="1" s="177"/>
    <row r="505" ht="15.75" customHeight="1" s="177"/>
    <row r="506" ht="15.75" customHeight="1" s="177"/>
    <row r="507" ht="15.75" customHeight="1" s="177"/>
    <row r="508" ht="15.75" customHeight="1" s="177"/>
    <row r="509" ht="15.75" customHeight="1" s="177"/>
    <row r="510" ht="15.75" customHeight="1" s="177"/>
    <row r="511" ht="15.75" customHeight="1" s="177"/>
    <row r="512" ht="15.75" customHeight="1" s="177"/>
    <row r="513" ht="15.75" customHeight="1" s="177"/>
    <row r="514" ht="15.75" customHeight="1" s="177"/>
    <row r="515" ht="15.75" customHeight="1" s="177"/>
    <row r="516" ht="15.75" customHeight="1" s="177"/>
    <row r="517" ht="15.75" customHeight="1" s="177"/>
    <row r="518" ht="15.75" customHeight="1" s="177"/>
    <row r="519" ht="15.75" customHeight="1" s="177"/>
    <row r="520" ht="15.75" customHeight="1" s="177"/>
    <row r="521" ht="15.75" customHeight="1" s="177"/>
    <row r="522" ht="15.75" customHeight="1" s="177"/>
    <row r="523" ht="15.75" customHeight="1" s="177"/>
    <row r="524" ht="15.75" customHeight="1" s="177"/>
    <row r="525" ht="15.75" customHeight="1" s="177"/>
    <row r="526" ht="15.75" customHeight="1" s="177"/>
    <row r="527" ht="15.75" customHeight="1" s="177"/>
    <row r="528" ht="15.75" customHeight="1" s="177"/>
    <row r="529" ht="15.75" customHeight="1" s="177"/>
    <row r="530" ht="15.75" customHeight="1" s="177"/>
    <row r="531" ht="15.75" customHeight="1" s="177"/>
    <row r="532" ht="15.75" customHeight="1" s="177"/>
    <row r="533" ht="15.75" customHeight="1" s="177"/>
    <row r="534" ht="15.75" customHeight="1" s="177"/>
    <row r="535" ht="15.75" customHeight="1" s="177"/>
    <row r="536" ht="15.75" customHeight="1" s="177"/>
    <row r="537" ht="15.75" customHeight="1" s="177"/>
    <row r="538" ht="15.75" customHeight="1" s="177"/>
    <row r="539" ht="15.75" customHeight="1" s="177"/>
    <row r="540" ht="15.75" customHeight="1" s="177"/>
    <row r="541" ht="15.75" customHeight="1" s="177"/>
    <row r="542" ht="15.75" customHeight="1" s="177"/>
    <row r="543" ht="15.75" customHeight="1" s="177"/>
    <row r="544" ht="15.75" customHeight="1" s="177"/>
    <row r="545" ht="15.75" customHeight="1" s="177"/>
    <row r="546" ht="15.75" customHeight="1" s="177"/>
    <row r="547" ht="15.75" customHeight="1" s="177"/>
    <row r="548" ht="15.75" customHeight="1" s="177"/>
    <row r="549" ht="15.75" customHeight="1" s="177"/>
    <row r="550" ht="15.75" customHeight="1" s="177"/>
    <row r="551" ht="15.75" customHeight="1" s="177"/>
    <row r="552" ht="15.75" customHeight="1" s="177"/>
    <row r="553" ht="15.75" customHeight="1" s="177"/>
    <row r="554" ht="15.75" customHeight="1" s="177"/>
    <row r="555" ht="15.75" customHeight="1" s="177"/>
    <row r="556" ht="15.75" customHeight="1" s="177"/>
    <row r="557" ht="15.75" customHeight="1" s="177"/>
    <row r="558" ht="15.75" customHeight="1" s="177"/>
    <row r="559" ht="15.75" customHeight="1" s="177"/>
    <row r="560" ht="15.75" customHeight="1" s="177"/>
    <row r="561" ht="15.75" customHeight="1" s="177"/>
    <row r="562" ht="15.75" customHeight="1" s="177"/>
    <row r="563" ht="15.75" customHeight="1" s="177"/>
    <row r="564" ht="15.75" customHeight="1" s="177"/>
    <row r="565" ht="15.75" customHeight="1" s="177"/>
    <row r="566" ht="15.75" customHeight="1" s="177"/>
    <row r="567" ht="15.75" customHeight="1" s="177"/>
    <row r="568" ht="15.75" customHeight="1" s="177"/>
    <row r="569" ht="15.75" customHeight="1" s="177"/>
    <row r="570" ht="15.75" customHeight="1" s="177"/>
    <row r="571" ht="15.75" customHeight="1" s="177"/>
    <row r="572" ht="15.75" customHeight="1" s="177"/>
    <row r="573" ht="15.75" customHeight="1" s="177"/>
    <row r="574" ht="15.75" customHeight="1" s="177"/>
    <row r="575" ht="15.75" customHeight="1" s="177"/>
    <row r="576" ht="15.75" customHeight="1" s="177"/>
    <row r="577" ht="15.75" customHeight="1" s="177"/>
    <row r="578" ht="15.75" customHeight="1" s="177"/>
    <row r="579" ht="15.75" customHeight="1" s="177"/>
    <row r="580" ht="15.75" customHeight="1" s="177"/>
    <row r="581" ht="15.75" customHeight="1" s="177"/>
    <row r="582" ht="15.75" customHeight="1" s="177"/>
    <row r="583" ht="15.75" customHeight="1" s="177"/>
    <row r="584" ht="15.75" customHeight="1" s="177"/>
    <row r="585" ht="15.75" customHeight="1" s="177"/>
    <row r="586" ht="15.75" customHeight="1" s="177"/>
    <row r="587" ht="15.75" customHeight="1" s="177"/>
    <row r="588" ht="15.75" customHeight="1" s="177"/>
    <row r="589" ht="15.75" customHeight="1" s="177"/>
    <row r="590" ht="15.75" customHeight="1" s="177"/>
    <row r="591" ht="15.75" customHeight="1" s="177"/>
    <row r="592" ht="15.75" customHeight="1" s="177"/>
    <row r="593" ht="15.75" customHeight="1" s="177"/>
    <row r="594" ht="15.75" customHeight="1" s="177"/>
    <row r="595" ht="15.75" customHeight="1" s="177"/>
    <row r="596" ht="15.75" customHeight="1" s="177"/>
    <row r="597" ht="15.75" customHeight="1" s="177"/>
    <row r="598" ht="15.75" customHeight="1" s="177"/>
    <row r="599" ht="15.75" customHeight="1" s="177"/>
    <row r="600" ht="15.75" customHeight="1" s="177"/>
    <row r="601" ht="15.75" customHeight="1" s="177"/>
    <row r="602" ht="15.75" customHeight="1" s="177"/>
    <row r="603" ht="15.75" customHeight="1" s="177"/>
    <row r="604" ht="15.75" customHeight="1" s="177"/>
    <row r="605" ht="15.75" customHeight="1" s="177"/>
    <row r="606" ht="15.75" customHeight="1" s="177"/>
    <row r="607" ht="15.75" customHeight="1" s="177"/>
    <row r="608" ht="15.75" customHeight="1" s="177"/>
    <row r="609" ht="15.75" customHeight="1" s="177"/>
    <row r="610" ht="15.75" customHeight="1" s="177"/>
    <row r="611" ht="15.75" customHeight="1" s="177"/>
    <row r="612" ht="15.75" customHeight="1" s="177"/>
    <row r="613" ht="15.75" customHeight="1" s="177"/>
    <row r="614" ht="15.75" customHeight="1" s="177"/>
    <row r="615" ht="15.75" customHeight="1" s="177"/>
    <row r="616" ht="15.75" customHeight="1" s="177"/>
    <row r="617" ht="15.75" customHeight="1" s="177"/>
    <row r="618" ht="15.75" customHeight="1" s="177"/>
    <row r="619" ht="15.75" customHeight="1" s="177"/>
    <row r="620" ht="15.75" customHeight="1" s="177"/>
    <row r="621" ht="15.75" customHeight="1" s="177"/>
    <row r="622" ht="15.75" customHeight="1" s="177"/>
    <row r="623" ht="15.75" customHeight="1" s="177"/>
    <row r="624" ht="15.75" customHeight="1" s="177"/>
    <row r="625" ht="15.75" customHeight="1" s="177"/>
    <row r="626" ht="15.75" customHeight="1" s="177"/>
    <row r="627" ht="15.75" customHeight="1" s="177"/>
    <row r="628" ht="15.75" customHeight="1" s="177"/>
    <row r="629" ht="15.75" customHeight="1" s="177"/>
    <row r="630" ht="15.75" customHeight="1" s="177"/>
    <row r="631" ht="15.75" customHeight="1" s="177"/>
    <row r="632" ht="15.75" customHeight="1" s="177"/>
    <row r="633" ht="15.75" customHeight="1" s="177"/>
    <row r="634" ht="15.75" customHeight="1" s="177"/>
    <row r="635" ht="15.75" customHeight="1" s="177"/>
    <row r="636" ht="15.75" customHeight="1" s="177"/>
    <row r="637" ht="15.75" customHeight="1" s="177"/>
    <row r="638" ht="15.75" customHeight="1" s="177"/>
    <row r="639" ht="15.75" customHeight="1" s="177"/>
    <row r="640" ht="15.75" customHeight="1" s="177"/>
    <row r="641" ht="15.75" customHeight="1" s="177"/>
    <row r="642" ht="15.75" customHeight="1" s="177"/>
    <row r="643" ht="15.75" customHeight="1" s="177"/>
    <row r="644" ht="15.75" customHeight="1" s="177"/>
    <row r="645" ht="15.75" customHeight="1" s="177"/>
    <row r="646" ht="15.75" customHeight="1" s="177"/>
    <row r="647" ht="15.75" customHeight="1" s="177"/>
    <row r="648" ht="15.75" customHeight="1" s="177"/>
    <row r="649" ht="15.75" customHeight="1" s="177"/>
    <row r="650" ht="15.75" customHeight="1" s="177"/>
    <row r="651" ht="15.75" customHeight="1" s="177"/>
    <row r="652" ht="15.75" customHeight="1" s="177"/>
    <row r="653" ht="15.75" customHeight="1" s="177"/>
    <row r="654" ht="15.75" customHeight="1" s="177"/>
    <row r="655" ht="15.75" customHeight="1" s="177"/>
    <row r="656" ht="15.75" customHeight="1" s="177"/>
    <row r="657" ht="15.75" customHeight="1" s="177"/>
    <row r="658" ht="15.75" customHeight="1" s="177"/>
    <row r="659" ht="15.75" customHeight="1" s="177"/>
    <row r="660" ht="15.75" customHeight="1" s="177"/>
    <row r="661" ht="15.75" customHeight="1" s="177"/>
    <row r="662" ht="15.75" customHeight="1" s="177"/>
    <row r="663" ht="15.75" customHeight="1" s="177"/>
    <row r="664" ht="15.75" customHeight="1" s="177"/>
    <row r="665" ht="15.75" customHeight="1" s="177"/>
    <row r="666" ht="15.75" customHeight="1" s="177"/>
    <row r="667" ht="15.75" customHeight="1" s="177"/>
    <row r="668" ht="15.75" customHeight="1" s="177"/>
    <row r="669" ht="15.75" customHeight="1" s="177"/>
    <row r="670" ht="15.75" customHeight="1" s="177"/>
    <row r="671" ht="15.75" customHeight="1" s="177"/>
    <row r="672" ht="15.75" customHeight="1" s="177"/>
    <row r="673" ht="15.75" customHeight="1" s="177"/>
    <row r="674" ht="15.75" customHeight="1" s="177"/>
    <row r="675" ht="15.75" customHeight="1" s="177"/>
    <row r="676" ht="15.75" customHeight="1" s="177"/>
    <row r="677" ht="15.75" customHeight="1" s="177"/>
    <row r="678" ht="15.75" customHeight="1" s="177"/>
    <row r="679" ht="15.75" customHeight="1" s="177"/>
    <row r="680" ht="15.75" customHeight="1" s="177"/>
    <row r="681" ht="15.75" customHeight="1" s="177"/>
    <row r="682" ht="15.75" customHeight="1" s="177"/>
    <row r="683" ht="15.75" customHeight="1" s="177"/>
    <row r="684" ht="15.75" customHeight="1" s="177"/>
    <row r="685" ht="15.75" customHeight="1" s="177"/>
    <row r="686" ht="15.75" customHeight="1" s="177"/>
    <row r="687" ht="15.75" customHeight="1" s="177"/>
    <row r="688" ht="15.75" customHeight="1" s="177"/>
    <row r="689" ht="15.75" customHeight="1" s="177"/>
    <row r="690" ht="15.75" customHeight="1" s="177"/>
    <row r="691" ht="15.75" customHeight="1" s="177"/>
    <row r="692" ht="15.75" customHeight="1" s="177"/>
    <row r="693" ht="15.75" customHeight="1" s="177"/>
    <row r="694" ht="15.75" customHeight="1" s="177"/>
    <row r="695" ht="15.75" customHeight="1" s="177"/>
    <row r="696" ht="15.75" customHeight="1" s="177"/>
    <row r="697" ht="15.75" customHeight="1" s="177"/>
    <row r="698" ht="15.75" customHeight="1" s="177"/>
    <row r="699" ht="15.75" customHeight="1" s="177"/>
    <row r="700" ht="15.75" customHeight="1" s="177"/>
    <row r="701" ht="15.75" customHeight="1" s="177"/>
    <row r="702" ht="15.75" customHeight="1" s="177"/>
    <row r="703" ht="15.75" customHeight="1" s="177"/>
    <row r="704" ht="15.75" customHeight="1" s="177"/>
    <row r="705" ht="15.75" customHeight="1" s="177"/>
    <row r="706" ht="15.75" customHeight="1" s="177"/>
    <row r="707" ht="15.75" customHeight="1" s="177"/>
    <row r="708" ht="15.75" customHeight="1" s="177"/>
    <row r="709" ht="15.75" customHeight="1" s="177"/>
    <row r="710" ht="15.75" customHeight="1" s="177"/>
    <row r="711" ht="15.75" customHeight="1" s="177"/>
    <row r="712" ht="15.75" customHeight="1" s="177"/>
    <row r="713" ht="15.75" customHeight="1" s="177"/>
    <row r="714" ht="15.75" customHeight="1" s="177"/>
    <row r="715" ht="15.75" customHeight="1" s="177"/>
    <row r="716" ht="15.75" customHeight="1" s="177"/>
    <row r="717" ht="15.75" customHeight="1" s="177"/>
    <row r="718" ht="15.75" customHeight="1" s="177"/>
    <row r="719" ht="15.75" customHeight="1" s="177"/>
    <row r="720" ht="15.75" customHeight="1" s="177"/>
    <row r="721" ht="15.75" customHeight="1" s="177"/>
    <row r="722" ht="15.75" customHeight="1" s="177"/>
    <row r="723" ht="15.75" customHeight="1" s="177"/>
    <row r="724" ht="15.75" customHeight="1" s="177"/>
    <row r="725" ht="15.75" customHeight="1" s="177"/>
    <row r="726" ht="15.75" customHeight="1" s="177"/>
    <row r="727" ht="15.75" customHeight="1" s="177"/>
    <row r="728" ht="15.75" customHeight="1" s="177"/>
    <row r="729" ht="15.75" customHeight="1" s="177"/>
    <row r="730" ht="15.75" customHeight="1" s="177"/>
    <row r="731" ht="15.75" customHeight="1" s="177"/>
    <row r="732" ht="15.75" customHeight="1" s="177"/>
    <row r="733" ht="15.75" customHeight="1" s="177"/>
    <row r="734" ht="15.75" customHeight="1" s="177"/>
    <row r="735" ht="15.75" customHeight="1" s="177"/>
    <row r="736" ht="15.75" customHeight="1" s="177"/>
    <row r="737" ht="15.75" customHeight="1" s="177"/>
    <row r="738" ht="15.75" customHeight="1" s="177"/>
    <row r="739" ht="15.75" customHeight="1" s="177"/>
    <row r="740" ht="15.75" customHeight="1" s="177"/>
    <row r="741" ht="15.75" customHeight="1" s="177"/>
    <row r="742" ht="15.75" customHeight="1" s="177"/>
    <row r="743" ht="15.75" customHeight="1" s="177"/>
    <row r="744" ht="15.75" customHeight="1" s="177"/>
    <row r="745" ht="15.75" customHeight="1" s="177"/>
    <row r="746" ht="15.75" customHeight="1" s="177"/>
    <row r="747" ht="15.75" customHeight="1" s="177"/>
    <row r="748" ht="15.75" customHeight="1" s="177"/>
    <row r="749" ht="15.75" customHeight="1" s="177"/>
    <row r="750" ht="15.75" customHeight="1" s="177"/>
    <row r="751" ht="15.75" customHeight="1" s="177"/>
    <row r="752" ht="15.75" customHeight="1" s="177"/>
    <row r="753" ht="15.75" customHeight="1" s="177"/>
    <row r="754" ht="15.75" customHeight="1" s="177"/>
    <row r="755" ht="15.75" customHeight="1" s="177"/>
    <row r="756" ht="15.75" customHeight="1" s="177"/>
    <row r="757" ht="15.75" customHeight="1" s="177"/>
    <row r="758" ht="15.75" customHeight="1" s="177"/>
    <row r="759" ht="15.75" customHeight="1" s="177"/>
    <row r="760" ht="15.75" customHeight="1" s="177"/>
    <row r="761" ht="15.75" customHeight="1" s="177"/>
    <row r="762" ht="15.75" customHeight="1" s="177"/>
    <row r="763" ht="15.75" customHeight="1" s="177"/>
    <row r="764" ht="15.75" customHeight="1" s="177"/>
    <row r="765" ht="15.75" customHeight="1" s="177"/>
    <row r="766" ht="15.75" customHeight="1" s="177"/>
    <row r="767" ht="15.75" customHeight="1" s="177"/>
    <row r="768" ht="15.75" customHeight="1" s="177"/>
    <row r="769" ht="15.75" customHeight="1" s="177"/>
    <row r="770" ht="15.75" customHeight="1" s="177"/>
    <row r="771" ht="15.75" customHeight="1" s="177"/>
    <row r="772" ht="15.75" customHeight="1" s="177"/>
    <row r="773" ht="15.75" customHeight="1" s="177"/>
    <row r="774" ht="15.75" customHeight="1" s="177"/>
    <row r="775" ht="15.75" customHeight="1" s="177"/>
    <row r="776" ht="15.75" customHeight="1" s="177"/>
    <row r="777" ht="15.75" customHeight="1" s="177"/>
    <row r="778" ht="15.75" customHeight="1" s="177"/>
    <row r="779" ht="15.75" customHeight="1" s="177"/>
    <row r="780" ht="15.75" customHeight="1" s="177"/>
    <row r="781" ht="15.75" customHeight="1" s="177"/>
    <row r="782" ht="15.75" customHeight="1" s="177"/>
    <row r="783" ht="15.75" customHeight="1" s="177"/>
    <row r="784" ht="15.75" customHeight="1" s="177"/>
    <row r="785" ht="15.75" customHeight="1" s="177"/>
    <row r="786" ht="15.75" customHeight="1" s="177"/>
    <row r="787" ht="15.75" customHeight="1" s="177"/>
    <row r="788" ht="15.75" customHeight="1" s="177"/>
    <row r="789" ht="15.75" customHeight="1" s="177"/>
    <row r="790" ht="15.75" customHeight="1" s="177"/>
    <row r="791" ht="15.75" customHeight="1" s="177"/>
    <row r="792" ht="15.75" customHeight="1" s="177"/>
    <row r="793" ht="15.75" customHeight="1" s="177"/>
    <row r="794" ht="15.75" customHeight="1" s="177"/>
    <row r="795" ht="15.75" customHeight="1" s="177"/>
    <row r="796" ht="15.75" customHeight="1" s="177"/>
    <row r="797" ht="15.75" customHeight="1" s="177"/>
    <row r="798" ht="15.75" customHeight="1" s="177"/>
    <row r="799" ht="15.75" customHeight="1" s="177"/>
    <row r="800" ht="15.75" customHeight="1" s="177"/>
    <row r="801" ht="15.75" customHeight="1" s="177"/>
    <row r="802" ht="15.75" customHeight="1" s="177"/>
    <row r="803" ht="15.75" customHeight="1" s="177"/>
    <row r="804" ht="15.75" customHeight="1" s="177"/>
    <row r="805" ht="15.75" customHeight="1" s="177"/>
    <row r="806" ht="15.75" customHeight="1" s="177"/>
    <row r="807" ht="15.75" customHeight="1" s="177"/>
    <row r="808" ht="15.75" customHeight="1" s="177"/>
    <row r="809" ht="15.75" customHeight="1" s="177"/>
    <row r="810" ht="15.75" customHeight="1" s="177"/>
    <row r="811" ht="15.75" customHeight="1" s="177"/>
    <row r="812" ht="15.75" customHeight="1" s="177"/>
    <row r="813" ht="15.75" customHeight="1" s="177"/>
    <row r="814" ht="15.75" customHeight="1" s="177"/>
    <row r="815" ht="15.75" customHeight="1" s="177"/>
    <row r="816" ht="15.75" customHeight="1" s="177"/>
    <row r="817" ht="15.75" customHeight="1" s="177"/>
    <row r="818" ht="15.75" customHeight="1" s="177"/>
    <row r="819" ht="15.75" customHeight="1" s="177"/>
    <row r="820" ht="15.75" customHeight="1" s="177"/>
    <row r="821" ht="15.75" customHeight="1" s="177"/>
    <row r="822" ht="15.75" customHeight="1" s="177"/>
    <row r="823" ht="15.75" customHeight="1" s="177"/>
    <row r="824" ht="15.75" customHeight="1" s="177"/>
    <row r="825" ht="15.75" customHeight="1" s="177"/>
    <row r="826" ht="15.75" customHeight="1" s="177"/>
    <row r="827" ht="15.75" customHeight="1" s="177"/>
    <row r="828" ht="15.75" customHeight="1" s="177"/>
    <row r="829" ht="15.75" customHeight="1" s="177"/>
    <row r="830" ht="15.75" customHeight="1" s="177"/>
    <row r="831" ht="15.75" customHeight="1" s="177"/>
    <row r="832" ht="15.75" customHeight="1" s="177"/>
    <row r="833" ht="15.75" customHeight="1" s="177"/>
    <row r="834" ht="15.75" customHeight="1" s="177"/>
    <row r="835" ht="15.75" customHeight="1" s="177"/>
    <row r="836" ht="15.75" customHeight="1" s="177"/>
    <row r="837" ht="15.75" customHeight="1" s="177"/>
    <row r="838" ht="15.75" customHeight="1" s="177"/>
    <row r="839" ht="15.75" customHeight="1" s="177"/>
    <row r="840" ht="15.75" customHeight="1" s="177"/>
    <row r="841" ht="15.75" customHeight="1" s="177"/>
    <row r="842" ht="15.75" customHeight="1" s="177"/>
    <row r="843" ht="15.75" customHeight="1" s="177"/>
    <row r="844" ht="15.75" customHeight="1" s="177"/>
    <row r="845" ht="15.75" customHeight="1" s="177"/>
    <row r="846" ht="15.75" customHeight="1" s="177"/>
    <row r="847" ht="15.75" customHeight="1" s="177"/>
    <row r="848" ht="15.75" customHeight="1" s="177"/>
    <row r="849" ht="15.75" customHeight="1" s="177"/>
    <row r="850" ht="15.75" customHeight="1" s="177"/>
    <row r="851" ht="15.75" customHeight="1" s="177"/>
    <row r="852" ht="15.75" customHeight="1" s="177"/>
    <row r="853" ht="15.75" customHeight="1" s="177"/>
    <row r="854" ht="15.75" customHeight="1" s="177"/>
    <row r="855" ht="15.75" customHeight="1" s="177"/>
    <row r="856" ht="15.75" customHeight="1" s="177"/>
    <row r="857" ht="15.75" customHeight="1" s="177"/>
    <row r="858" ht="15.75" customHeight="1" s="177"/>
    <row r="859" ht="15.75" customHeight="1" s="177"/>
    <row r="860" ht="15.75" customHeight="1" s="177"/>
    <row r="861" ht="15.75" customHeight="1" s="177"/>
    <row r="862" ht="15.75" customHeight="1" s="177"/>
    <row r="863" ht="15.75" customHeight="1" s="177"/>
    <row r="864" ht="15.75" customHeight="1" s="177"/>
    <row r="865" ht="15.75" customHeight="1" s="177"/>
    <row r="866" ht="15.75" customHeight="1" s="177"/>
    <row r="867" ht="15.75" customHeight="1" s="177"/>
    <row r="868" ht="15.75" customHeight="1" s="177"/>
    <row r="869" ht="15.75" customHeight="1" s="177"/>
    <row r="870" ht="15.75" customHeight="1" s="177"/>
    <row r="871" ht="15.75" customHeight="1" s="177"/>
    <row r="872" ht="15.75" customHeight="1" s="177"/>
    <row r="873" ht="15.75" customHeight="1" s="177"/>
    <row r="874" ht="15.75" customHeight="1" s="177"/>
    <row r="875" ht="15.75" customHeight="1" s="177"/>
    <row r="876" ht="15.75" customHeight="1" s="177"/>
    <row r="877" ht="15.75" customHeight="1" s="177"/>
    <row r="878" ht="15.75" customHeight="1" s="177"/>
    <row r="879" ht="15.75" customHeight="1" s="177"/>
    <row r="880" ht="15.75" customHeight="1" s="177"/>
    <row r="881" ht="15.75" customHeight="1" s="177"/>
    <row r="882" ht="15.75" customHeight="1" s="177"/>
    <row r="883" ht="15.75" customHeight="1" s="177"/>
    <row r="884" ht="15.75" customHeight="1" s="177"/>
    <row r="885" ht="15.75" customHeight="1" s="177"/>
    <row r="886" ht="15.75" customHeight="1" s="177"/>
    <row r="887" ht="15.75" customHeight="1" s="177"/>
    <row r="888" ht="15.75" customHeight="1" s="177"/>
    <row r="889" ht="15.75" customHeight="1" s="177"/>
    <row r="890" ht="15.75" customHeight="1" s="177"/>
    <row r="891" ht="15.75" customHeight="1" s="177"/>
    <row r="892" ht="15.75" customHeight="1" s="177"/>
    <row r="893" ht="15.75" customHeight="1" s="177"/>
    <row r="894" ht="15.75" customHeight="1" s="177"/>
    <row r="895" ht="15.75" customHeight="1" s="177"/>
    <row r="896" ht="15.75" customHeight="1" s="177"/>
    <row r="897" ht="15.75" customHeight="1" s="177"/>
    <row r="898" ht="15.75" customHeight="1" s="177"/>
    <row r="899" ht="15.75" customHeight="1" s="177"/>
    <row r="900" ht="15.75" customHeight="1" s="177"/>
    <row r="901" ht="15.75" customHeight="1" s="177"/>
    <row r="902" ht="15.75" customHeight="1" s="177"/>
    <row r="903" ht="15.75" customHeight="1" s="177"/>
    <row r="904" ht="15.75" customHeight="1" s="177"/>
    <row r="905" ht="15.75" customHeight="1" s="177"/>
    <row r="906" ht="15.75" customHeight="1" s="177"/>
    <row r="907" ht="15.75" customHeight="1" s="177"/>
    <row r="908" ht="15.75" customHeight="1" s="177"/>
    <row r="909" ht="15.75" customHeight="1" s="177"/>
    <row r="910" ht="15.75" customHeight="1" s="177"/>
    <row r="911" ht="15.75" customHeight="1" s="177"/>
    <row r="912" ht="15.75" customHeight="1" s="177"/>
    <row r="913" ht="15.75" customHeight="1" s="177"/>
    <row r="914" ht="15.75" customHeight="1" s="177"/>
    <row r="915" ht="15.75" customHeight="1" s="177"/>
    <row r="916" ht="15.75" customHeight="1" s="177"/>
    <row r="917" ht="15.75" customHeight="1" s="177"/>
    <row r="918" ht="15.75" customHeight="1" s="177"/>
    <row r="919" ht="15.75" customHeight="1" s="177"/>
    <row r="920" ht="15.75" customHeight="1" s="177"/>
    <row r="921" ht="15.75" customHeight="1" s="177"/>
    <row r="922" ht="15.75" customHeight="1" s="177"/>
    <row r="923" ht="15.75" customHeight="1" s="177"/>
    <row r="924" ht="15.75" customHeight="1" s="177"/>
    <row r="925" ht="15.75" customHeight="1" s="177"/>
    <row r="926" ht="15.75" customHeight="1" s="177"/>
    <row r="927" ht="15.75" customHeight="1" s="177"/>
    <row r="928" ht="15.75" customHeight="1" s="177"/>
    <row r="929" ht="15.75" customHeight="1" s="177"/>
    <row r="930" ht="15.75" customHeight="1" s="177"/>
    <row r="931" ht="15.75" customHeight="1" s="177"/>
    <row r="932" ht="15.75" customHeight="1" s="177"/>
    <row r="933" ht="15.75" customHeight="1" s="177"/>
    <row r="934" ht="15.75" customHeight="1" s="177"/>
    <row r="935" ht="15.75" customHeight="1" s="177"/>
    <row r="936" ht="15.75" customHeight="1" s="177"/>
    <row r="937" ht="15.75" customHeight="1" s="177"/>
    <row r="938" ht="15.75" customHeight="1" s="177"/>
    <row r="939" ht="15.75" customHeight="1" s="177"/>
    <row r="940" ht="15.75" customHeight="1" s="177"/>
    <row r="941" ht="15.75" customHeight="1" s="177"/>
    <row r="942" ht="15.75" customHeight="1" s="177"/>
    <row r="943" ht="15.75" customHeight="1" s="177"/>
    <row r="944" ht="15.75" customHeight="1" s="177"/>
    <row r="945" ht="15.75" customHeight="1" s="177"/>
    <row r="946" ht="15.75" customHeight="1" s="177"/>
    <row r="947" ht="15.75" customHeight="1" s="177"/>
    <row r="948" ht="15.75" customHeight="1" s="177"/>
    <row r="949" ht="15.75" customHeight="1" s="177"/>
    <row r="950" ht="15.75" customHeight="1" s="177"/>
    <row r="951" ht="15.75" customHeight="1" s="177"/>
    <row r="952" ht="15.75" customHeight="1" s="177"/>
    <row r="953" ht="15.75" customHeight="1" s="177"/>
    <row r="954" ht="15.75" customHeight="1" s="177"/>
    <row r="955" ht="15.75" customHeight="1" s="177"/>
    <row r="956" ht="15.75" customHeight="1" s="177"/>
    <row r="957" ht="15.75" customHeight="1" s="177"/>
    <row r="958" ht="15.75" customHeight="1" s="177"/>
    <row r="959" ht="15.75" customHeight="1" s="177"/>
    <row r="960" ht="15.75" customHeight="1" s="177"/>
    <row r="961" ht="15.75" customHeight="1" s="177"/>
    <row r="962" ht="15.75" customHeight="1" s="177"/>
    <row r="963" ht="15.75" customHeight="1" s="177"/>
    <row r="964" ht="15.75" customHeight="1" s="177"/>
    <row r="965" ht="15.75" customHeight="1" s="177"/>
    <row r="966" ht="15.75" customHeight="1" s="177"/>
    <row r="967" ht="15.75" customHeight="1" s="177"/>
    <row r="968" ht="15.75" customHeight="1" s="177"/>
    <row r="969" ht="15.75" customHeight="1" s="177"/>
    <row r="970" ht="15.75" customHeight="1" s="177"/>
    <row r="971" ht="15.75" customHeight="1" s="177"/>
    <row r="972" ht="15.75" customHeight="1" s="177"/>
    <row r="973" ht="15.75" customHeight="1" s="177"/>
    <row r="974" ht="15.75" customHeight="1" s="177"/>
    <row r="975" ht="15.75" customHeight="1" s="177"/>
    <row r="976" ht="15.75" customHeight="1" s="177"/>
    <row r="977" ht="15.75" customHeight="1" s="177"/>
    <row r="978" ht="15.75" customHeight="1" s="177"/>
    <row r="979" ht="15.75" customHeight="1" s="177"/>
    <row r="980" ht="15.75" customHeight="1" s="177"/>
    <row r="981" ht="15.75" customHeight="1" s="177"/>
    <row r="982" ht="15.75" customHeight="1" s="177"/>
    <row r="983" ht="15.75" customHeight="1" s="177"/>
    <row r="984" ht="15.75" customHeight="1" s="177"/>
    <row r="985" ht="15.75" customHeight="1" s="177"/>
    <row r="986" ht="15.75" customHeight="1" s="177"/>
    <row r="987" ht="15.75" customHeight="1" s="177"/>
    <row r="988" ht="15.75" customHeight="1" s="177"/>
    <row r="989" ht="15.75" customHeight="1" s="177"/>
    <row r="990" ht="15.75" customHeight="1" s="177"/>
    <row r="991" ht="15.75" customHeight="1" s="177"/>
    <row r="992" ht="15.75" customHeight="1" s="177"/>
    <row r="993" ht="15.75" customHeight="1" s="177"/>
    <row r="994" ht="15.75" customHeight="1" s="177"/>
    <row r="995" ht="15.75" customHeight="1" s="177"/>
    <row r="996" ht="15.75" customHeight="1" s="177"/>
    <row r="997" ht="15.75" customHeight="1" s="177"/>
    <row r="998" ht="15.75" customHeight="1" s="177"/>
    <row r="999" ht="15.75" customHeight="1" s="177"/>
    <row r="1000" ht="15.75" customHeight="1" s="177"/>
  </sheetData>
  <mergeCells count="46">
    <mergeCell ref="H35:I35"/>
    <mergeCell ref="D12:M12"/>
    <mergeCell ref="K22:M22"/>
    <mergeCell ref="H29:I29"/>
    <mergeCell ref="D9:M9"/>
    <mergeCell ref="E33:F33"/>
    <mergeCell ref="L32:M32"/>
    <mergeCell ref="D8:M8"/>
    <mergeCell ref="H31:I31"/>
    <mergeCell ref="L28:M28"/>
    <mergeCell ref="E35:F35"/>
    <mergeCell ref="H34:I34"/>
    <mergeCell ref="E29:F29"/>
    <mergeCell ref="K23:M23"/>
    <mergeCell ref="L33:M33"/>
    <mergeCell ref="E28:F28"/>
    <mergeCell ref="K17:M17"/>
    <mergeCell ref="D10:M10"/>
    <mergeCell ref="E31:F31"/>
    <mergeCell ref="L30:M30"/>
    <mergeCell ref="B6:M6"/>
    <mergeCell ref="E34:F34"/>
    <mergeCell ref="K19:M19"/>
    <mergeCell ref="B2:M3"/>
    <mergeCell ref="E30:F30"/>
    <mergeCell ref="L35:M35"/>
    <mergeCell ref="L29:M29"/>
    <mergeCell ref="H32:I32"/>
    <mergeCell ref="E27:F27"/>
    <mergeCell ref="K18:M18"/>
    <mergeCell ref="B26:M26"/>
    <mergeCell ref="H28:I28"/>
    <mergeCell ref="L31:M31"/>
    <mergeCell ref="B4:M4"/>
    <mergeCell ref="H27:I27"/>
    <mergeCell ref="D13:M13"/>
    <mergeCell ref="D11:M11"/>
    <mergeCell ref="B16:M16"/>
    <mergeCell ref="L34:M34"/>
    <mergeCell ref="E32:F32"/>
    <mergeCell ref="H33:I33"/>
    <mergeCell ref="K21:M21"/>
    <mergeCell ref="D7:M7"/>
    <mergeCell ref="L27:M27"/>
    <mergeCell ref="K20:M20"/>
    <mergeCell ref="H30:I30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2A9D8F"/>
    <outlinePr summaryBelow="1" summaryRight="1"/>
    <pageSetUpPr/>
  </sheetPr>
  <dimension ref="A1:T60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baseColWidth="8" defaultColWidth="14.43" defaultRowHeight="15" customHeight="1"/>
  <cols>
    <col width="2" customWidth="1" style="177" min="1" max="1"/>
    <col width="5" customWidth="1" style="177" min="2" max="2"/>
    <col width="18" customWidth="1" style="177" min="3" max="3"/>
    <col width="9" customWidth="1" style="177" min="4" max="4"/>
    <col width="50" customWidth="1" style="177" min="5" max="5"/>
    <col width="21.14" customWidth="1" style="177" min="6" max="6"/>
    <col width="12" customWidth="1" style="177" min="7" max="7"/>
    <col width="11.71" customWidth="1" style="177" min="8" max="8"/>
    <col width="14" customWidth="1" style="177" min="9" max="9"/>
    <col width="11" customWidth="1" style="177" min="10" max="10"/>
    <col width="15" customWidth="1" style="177" min="11" max="11"/>
    <col width="11" customWidth="1" style="177" min="12" max="12"/>
    <col width="45.29" customWidth="1" style="177" min="13" max="13"/>
    <col width="8.710000000000001" customWidth="1" style="177" min="14" max="26"/>
  </cols>
  <sheetData>
    <row r="1" ht="1.5" customHeight="1" s="177">
      <c r="A1" s="14" t="n"/>
      <c r="B1" s="14" t="n"/>
      <c r="C1" s="14" t="n"/>
      <c r="D1" s="14" t="n"/>
      <c r="E1" s="18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</row>
    <row r="2">
      <c r="A2" s="14" t="n"/>
      <c r="B2" s="234" t="inlineStr">
        <is>
          <t>TASK TRACKER</t>
        </is>
      </c>
      <c r="N2" s="14" t="n"/>
      <c r="O2" s="14" t="n"/>
      <c r="P2" s="14" t="n"/>
      <c r="Q2" s="14" t="n"/>
      <c r="R2" s="14" t="n"/>
      <c r="S2" s="14" t="n"/>
      <c r="T2" s="14" t="n"/>
    </row>
    <row r="3">
      <c r="A3" s="14" t="n"/>
      <c r="N3" s="14" t="n"/>
      <c r="O3" s="14" t="n"/>
      <c r="P3" s="14" t="n"/>
      <c r="Q3" s="14" t="n"/>
      <c r="R3" s="14" t="n"/>
      <c r="S3" s="14" t="n"/>
      <c r="T3" s="14" t="n"/>
    </row>
    <row r="4">
      <c r="A4" s="14" t="n"/>
      <c r="B4" s="235" t="inlineStr">
        <is>
          <t>Backlog rinci · perbarui kolom STATUS untuk melacak progres · filter per Sprint atau PIC</t>
        </is>
      </c>
      <c r="N4" s="14" t="n"/>
      <c r="O4" s="14" t="n"/>
      <c r="P4" s="14" t="n"/>
      <c r="Q4" s="14" t="n"/>
      <c r="R4" s="14" t="n"/>
      <c r="S4" s="14" t="n"/>
      <c r="T4" s="14" t="n"/>
    </row>
    <row r="5" hidden="1" s="177">
      <c r="A5" s="14" t="n"/>
      <c r="B5" s="14" t="n"/>
      <c r="C5" s="14" t="n"/>
      <c r="D5" s="14" t="n"/>
      <c r="E5" s="18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</row>
    <row r="6" hidden="1" ht="21.75" customHeight="1" s="177">
      <c r="A6" s="14" t="n"/>
      <c r="B6" s="236" t="inlineStr">
        <is>
          <t>Total</t>
        </is>
      </c>
      <c r="D6" s="237" t="inlineStr">
        <is>
          <t>Done</t>
        </is>
      </c>
      <c r="F6" s="238" t="inlineStr">
        <is>
          <t>In Progress</t>
        </is>
      </c>
      <c r="H6" s="239" t="inlineStr">
        <is>
          <t>Blocked</t>
        </is>
      </c>
      <c r="J6" s="240" t="inlineStr">
        <is>
          <t>Not Started</t>
        </is>
      </c>
      <c r="L6" s="241" t="inlineStr">
        <is>
          <t>% Complete</t>
        </is>
      </c>
      <c r="N6" s="14" t="n"/>
      <c r="O6" s="14" t="n"/>
      <c r="P6" s="14" t="n"/>
      <c r="Q6" s="14" t="n"/>
      <c r="R6" s="14" t="n"/>
      <c r="S6" s="14" t="n"/>
      <c r="T6" s="14" t="n"/>
    </row>
    <row r="7" hidden="1" ht="27.75" customHeight="1" s="177">
      <c r="A7" s="14" t="n"/>
      <c r="B7" s="242">
        <f>COUNTA(D11:D212)</f>
        <v/>
      </c>
      <c r="C7" s="188" t="n"/>
      <c r="D7" s="243">
        <f>COUNTIF(I11:I212,"Done")</f>
        <v/>
      </c>
      <c r="E7" s="190" t="n"/>
      <c r="F7" s="244">
        <f>COUNTIF(I11:I212,"In Progress")</f>
        <v/>
      </c>
      <c r="G7" s="192" t="n"/>
      <c r="H7" s="245">
        <f>COUNTIF(I11:I212,"Blocked")</f>
        <v/>
      </c>
      <c r="I7" s="194" t="n"/>
      <c r="J7" s="246">
        <f>COUNTIF(I11:I212,"Not Started")</f>
        <v/>
      </c>
      <c r="K7" s="247" t="n"/>
      <c r="L7" s="248">
        <f>IFERROR(COUNTIF(I11:I212,"Done")/COUNTA(D11:D212),0)</f>
        <v/>
      </c>
      <c r="M7" s="249" t="n"/>
      <c r="N7" s="14" t="n"/>
      <c r="O7" s="14" t="n"/>
      <c r="P7" s="14" t="n"/>
      <c r="Q7" s="14" t="n"/>
      <c r="R7" s="14" t="n"/>
      <c r="S7" s="14" t="n"/>
      <c r="T7" s="14" t="n"/>
    </row>
    <row r="8" hidden="1" s="177">
      <c r="A8" s="14" t="n"/>
      <c r="B8" s="195" t="n"/>
      <c r="D8" s="196" t="n"/>
      <c r="F8" s="197" t="n"/>
      <c r="H8" s="198" t="n"/>
      <c r="J8" s="250" t="n"/>
      <c r="L8" s="251" t="n"/>
      <c r="N8" s="14" t="n"/>
      <c r="O8" s="14" t="n"/>
      <c r="P8" s="14" t="n"/>
      <c r="Q8" s="14" t="n"/>
      <c r="R8" s="14" t="n"/>
      <c r="S8" s="14" t="n"/>
      <c r="T8" s="14" t="n"/>
    </row>
    <row r="9" hidden="1" s="177">
      <c r="A9" s="14" t="n"/>
      <c r="B9" s="14" t="n"/>
      <c r="C9" s="14" t="n"/>
      <c r="D9" s="14" t="n"/>
      <c r="E9" s="18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</row>
    <row r="10" ht="27" customHeight="1" s="177">
      <c r="A10" s="14" t="n"/>
      <c r="B10" s="94" t="inlineStr">
        <is>
          <t>#</t>
        </is>
      </c>
      <c r="C10" s="94" t="inlineStr">
        <is>
          <t>Sprint Goal</t>
        </is>
      </c>
      <c r="D10" s="94" t="inlineStr">
        <is>
          <t>Task ID</t>
        </is>
      </c>
      <c r="E10" s="94" t="inlineStr">
        <is>
          <t>Task Description</t>
        </is>
      </c>
      <c r="F10" s="94" t="inlineStr">
        <is>
          <t>PIC</t>
        </is>
      </c>
      <c r="G10" s="94" t="inlineStr">
        <is>
          <t>Sprint</t>
        </is>
      </c>
      <c r="H10" s="94" t="inlineStr">
        <is>
          <t>Priority</t>
        </is>
      </c>
      <c r="I10" s="94" t="inlineStr">
        <is>
          <t>Status</t>
        </is>
      </c>
      <c r="J10" s="94" t="inlineStr">
        <is>
          <t>Start Date</t>
        </is>
      </c>
      <c r="K10" s="93" t="inlineStr">
        <is>
          <t>DEADLINE</t>
        </is>
      </c>
      <c r="L10" s="94" t="inlineStr">
        <is>
          <t>Sisa Hari</t>
        </is>
      </c>
      <c r="M10" s="94" t="inlineStr">
        <is>
          <t>Notes / Blockers</t>
        </is>
      </c>
      <c r="N10" s="14" t="n"/>
      <c r="O10" s="14" t="n"/>
      <c r="P10" s="14" t="n"/>
      <c r="Q10" s="14" t="n"/>
      <c r="R10" s="14" t="n"/>
      <c r="S10" s="14" t="n"/>
      <c r="T10" s="14" t="n"/>
    </row>
    <row r="11" ht="32.25" customHeight="1" s="177">
      <c r="A11" s="14" t="n"/>
      <c r="B11" s="98" t="n">
        <v>1</v>
      </c>
      <c r="C11" s="99" t="inlineStr">
        <is>
          <t>S1 — Fondasi</t>
        </is>
      </c>
      <c r="D11" s="106" t="inlineStr">
        <is>
          <t>S1.1</t>
        </is>
      </c>
      <c r="E11" s="120" t="inlineStr">
        <is>
          <t>Finalisasi worksheet brainstorming + README project</t>
        </is>
      </c>
      <c r="F11" s="106" t="inlineStr">
        <is>
          <t>Farrel - Arch &amp; UI</t>
        </is>
      </c>
      <c r="G11" s="106" t="inlineStr">
        <is>
          <t>Sprint 1</t>
        </is>
      </c>
      <c r="H11" s="106" t="inlineStr">
        <is>
          <t>High</t>
        </is>
      </c>
      <c r="I11" s="106" t="inlineStr">
        <is>
          <t>Done</t>
        </is>
      </c>
      <c r="J11" s="118" t="n">
        <v>46272</v>
      </c>
      <c r="K11" s="118" t="n">
        <v>46273</v>
      </c>
      <c r="L11" s="109">
        <f>IF(K11="","",K11-TODAY())</f>
        <v/>
      </c>
      <c r="M11" s="120" t="inlineStr">
        <is>
          <t>Sudah di-merge lewat PR #6</t>
        </is>
      </c>
      <c r="N11" s="14" t="n"/>
      <c r="O11" s="14" t="n"/>
      <c r="P11" s="14" t="n"/>
      <c r="Q11" s="14" t="n"/>
      <c r="R11" s="14" t="n"/>
      <c r="S11" s="14" t="n"/>
      <c r="T11" s="14" t="n"/>
    </row>
    <row r="12">
      <c r="A12" s="14" t="n"/>
      <c r="B12" s="147" t="n">
        <v>2</v>
      </c>
      <c r="C12" s="146" t="inlineStr">
        <is>
          <t>S1 — Fondasi</t>
        </is>
      </c>
      <c r="D12" s="106" t="inlineStr">
        <is>
          <t>S1.2</t>
        </is>
      </c>
      <c r="E12" s="120" t="inlineStr">
        <is>
          <t>Setup repo GitHub + branching per anggota</t>
        </is>
      </c>
      <c r="F12" s="106" t="inlineStr">
        <is>
          <t>Farrel - Arch &amp; UI</t>
        </is>
      </c>
      <c r="G12" s="106" t="inlineStr">
        <is>
          <t>Sprint 1</t>
        </is>
      </c>
      <c r="H12" s="106" t="inlineStr">
        <is>
          <t>High</t>
        </is>
      </c>
      <c r="I12" s="106" t="inlineStr">
        <is>
          <t>Done</t>
        </is>
      </c>
      <c r="J12" s="118" t="n">
        <v>46272</v>
      </c>
      <c r="K12" s="118" t="n">
        <v>46273</v>
      </c>
      <c r="L12" s="109">
        <f>IF(K12="","",K12-TODAY())</f>
        <v/>
      </c>
      <c r="M12" s="120" t="inlineStr">
        <is>
          <t>Branch 540589 / 538308 / 521971</t>
        </is>
      </c>
      <c r="N12" s="14" t="n"/>
      <c r="O12" s="117" t="inlineStr">
        <is>
          <t>Fitur/use case Utama Sprint 1: user bisa upload dokumen, staff/panitia bisa ngeapprove/unapprove dokumennya, user bisa liat status approvalnya</t>
        </is>
      </c>
      <c r="T12" s="14" t="n"/>
    </row>
    <row r="13">
      <c r="A13" s="14" t="n"/>
      <c r="B13" s="98" t="n">
        <v>3</v>
      </c>
      <c r="C13" s="99" t="inlineStr">
        <is>
          <t>S1 — Fondasi</t>
        </is>
      </c>
      <c r="D13" s="106" t="inlineStr">
        <is>
          <t>S1.3</t>
        </is>
      </c>
      <c r="E13" s="120" t="inlineStr">
        <is>
          <t>Buat project WPF .NET 8 + struktur folder (Models/Views)</t>
        </is>
      </c>
      <c r="F13" s="106" t="inlineStr">
        <is>
          <t>Farrel - Arch &amp; UI</t>
        </is>
      </c>
      <c r="G13" s="106" t="inlineStr">
        <is>
          <t>Sprint 1</t>
        </is>
      </c>
      <c r="H13" s="106" t="inlineStr">
        <is>
          <t>High</t>
        </is>
      </c>
      <c r="I13" s="106" t="inlineStr">
        <is>
          <t>Done</t>
        </is>
      </c>
      <c r="J13" s="118" t="n">
        <v>46273</v>
      </c>
      <c r="K13" s="118" t="n">
        <v>46274</v>
      </c>
      <c r="L13" s="109">
        <f>IF(K13="","",K13-TODAY())</f>
        <v/>
      </c>
      <c r="M13" s="120" t="inlineStr">
        <is>
          <t>Belum di-build, SDK belum terpasang</t>
        </is>
      </c>
      <c r="N13" s="14" t="n"/>
      <c r="T13" s="14" t="n"/>
    </row>
    <row r="14">
      <c r="A14" s="14" t="n"/>
      <c r="B14" s="147" t="n">
        <v>4</v>
      </c>
      <c r="C14" s="146" t="inlineStr">
        <is>
          <t>S1 — Fondasi</t>
        </is>
      </c>
      <c r="D14" s="106" t="inlineStr">
        <is>
          <t>S1.4</t>
        </is>
      </c>
      <c r="E14" s="120" t="inlineStr">
        <is>
          <t>Design system: token warna + style Card/Button/Nav di App.xaml</t>
        </is>
      </c>
      <c r="F14" s="106" t="inlineStr">
        <is>
          <t>Farrel - Arch &amp; UI</t>
        </is>
      </c>
      <c r="G14" s="106" t="inlineStr">
        <is>
          <t>Sprint 1</t>
        </is>
      </c>
      <c r="H14" s="106" t="inlineStr">
        <is>
          <t>High</t>
        </is>
      </c>
      <c r="I14" s="106" t="inlineStr">
        <is>
          <t>Done</t>
        </is>
      </c>
      <c r="J14" s="118" t="n">
        <v>46273</v>
      </c>
      <c r="K14" s="118" t="n">
        <v>46274</v>
      </c>
      <c r="L14" s="109">
        <f>IF(K14="","",K14-TODAY())</f>
        <v/>
      </c>
      <c r="M14" s="120" t="n"/>
      <c r="N14" s="14" t="n"/>
      <c r="T14" s="14" t="n"/>
    </row>
    <row r="15">
      <c r="A15" s="14" t="n"/>
      <c r="B15" s="98" t="n">
        <v>5</v>
      </c>
      <c r="C15" s="120" t="inlineStr">
        <is>
          <t>S1 — Fondasi</t>
        </is>
      </c>
      <c r="D15" s="106" t="inlineStr">
        <is>
          <t>S1.5</t>
        </is>
      </c>
      <c r="E15" s="120" t="inlineStr">
        <is>
          <t>Mockup UI 5 layar di Figma</t>
        </is>
      </c>
      <c r="F15" s="106" t="inlineStr">
        <is>
          <t>Farrel - Arch &amp; UI</t>
        </is>
      </c>
      <c r="G15" s="106" t="inlineStr">
        <is>
          <t>Sprint 1</t>
        </is>
      </c>
      <c r="H15" s="106" t="inlineStr">
        <is>
          <t>High</t>
        </is>
      </c>
      <c r="I15" s="106" t="inlineStr">
        <is>
          <t>Done</t>
        </is>
      </c>
      <c r="J15" s="118" t="n">
        <v>46273</v>
      </c>
      <c r="K15" s="118" t="n">
        <v>46275</v>
      </c>
      <c r="L15" s="109">
        <f>IF(K15="","",K15-TODAY())</f>
        <v/>
      </c>
      <c r="M15" s="120" t="inlineStr">
        <is>
          <t>Beranda, Input, Hasil x2, Riwayat</t>
        </is>
      </c>
      <c r="N15" s="14" t="n"/>
      <c r="T15" s="14" t="n"/>
    </row>
    <row r="16">
      <c r="A16" s="14" t="n"/>
      <c r="B16" s="147" t="n">
        <v>6</v>
      </c>
      <c r="C16" s="120" t="inlineStr">
        <is>
          <t>S1 — Fondasi</t>
        </is>
      </c>
      <c r="D16" s="106" t="inlineStr">
        <is>
          <t>S1.6</t>
        </is>
      </c>
      <c r="E16" s="120" t="inlineStr">
        <is>
          <t>Rancang skema SQLite: tabel simulasi, panel, tarif_listrik</t>
        </is>
      </c>
      <c r="F16" s="106" t="inlineStr">
        <is>
          <t>Sri - Backend</t>
        </is>
      </c>
      <c r="G16" s="106" t="inlineStr">
        <is>
          <t>Sprint 1</t>
        </is>
      </c>
      <c r="H16" s="106" t="inlineStr">
        <is>
          <t>High</t>
        </is>
      </c>
      <c r="I16" s="106" t="inlineStr">
        <is>
          <t>Not Started</t>
        </is>
      </c>
      <c r="J16" s="118" t="n">
        <v>46274</v>
      </c>
      <c r="K16" s="118" t="n">
        <v>46276</v>
      </c>
      <c r="L16" s="109">
        <f>IF(K16="","",K16-TODAY())</f>
        <v/>
      </c>
      <c r="M16" s="120" t="n"/>
      <c r="N16" s="14" t="n"/>
      <c r="T16" s="14" t="n"/>
    </row>
    <row r="17">
      <c r="A17" s="14" t="n"/>
      <c r="B17" s="98" t="n">
        <v>7</v>
      </c>
      <c r="C17" s="120" t="inlineStr">
        <is>
          <t>S1 — Fondasi</t>
        </is>
      </c>
      <c r="D17" s="106" t="inlineStr">
        <is>
          <t>S1.7</t>
        </is>
      </c>
      <c r="E17" s="120" t="inlineStr">
        <is>
          <t>Class diagram + use case diagram (draw.io)</t>
        </is>
      </c>
      <c r="F17" s="106" t="inlineStr">
        <is>
          <t>Farrel - Arch &amp; UI</t>
        </is>
      </c>
      <c r="G17" s="106" t="inlineStr">
        <is>
          <t>Sprint 1</t>
        </is>
      </c>
      <c r="H17" s="106" t="inlineStr">
        <is>
          <t>Medium</t>
        </is>
      </c>
      <c r="I17" s="106" t="inlineStr">
        <is>
          <t>In Progress</t>
        </is>
      </c>
      <c r="J17" s="118" t="n">
        <v>46274</v>
      </c>
      <c r="K17" s="118" t="n">
        <v>46276</v>
      </c>
      <c r="L17" s="109">
        <f>IF(K17="","",K17-TODAY())</f>
        <v/>
      </c>
      <c r="M17" s="120" t="inlineStr">
        <is>
          <t>Draf .drawio sudah ada, perlu disesuaikan</t>
        </is>
      </c>
      <c r="N17" s="14" t="n"/>
      <c r="T17" s="14" t="n"/>
    </row>
    <row r="18">
      <c r="A18" s="14" t="n"/>
      <c r="B18" s="147" t="n">
        <v>8</v>
      </c>
      <c r="C18" s="120" t="inlineStr">
        <is>
          <t>S1 — Fondasi</t>
        </is>
      </c>
      <c r="D18" s="106" t="inlineStr">
        <is>
          <t>S1.8</t>
        </is>
      </c>
      <c r="E18" s="120" t="inlineStr">
        <is>
          <t>Implementasi halaman Beranda (shell + sidebar + kartu riwayat)</t>
        </is>
      </c>
      <c r="F18" s="106" t="inlineStr">
        <is>
          <t>Mayra - Frontend</t>
        </is>
      </c>
      <c r="G18" s="106" t="inlineStr">
        <is>
          <t>Sprint 1</t>
        </is>
      </c>
      <c r="H18" s="106" t="inlineStr">
        <is>
          <t>High</t>
        </is>
      </c>
      <c r="I18" s="106" t="inlineStr">
        <is>
          <t>In Progress</t>
        </is>
      </c>
      <c r="J18" s="118" t="n">
        <v>46275</v>
      </c>
      <c r="K18" s="118" t="n">
        <v>46278</v>
      </c>
      <c r="L18" s="109">
        <f>IF(K18="","",K18-TODAY())</f>
        <v/>
      </c>
      <c r="M18" s="120" t="inlineStr">
        <is>
          <t>Kode sudah ditulis, menunggu build</t>
        </is>
      </c>
      <c r="N18" s="14" t="n"/>
      <c r="T18" s="14" t="n"/>
    </row>
    <row r="19">
      <c r="A19" s="14" t="n"/>
      <c r="B19" s="98" t="n">
        <v>9</v>
      </c>
      <c r="C19" s="120" t="inlineStr">
        <is>
          <t>S2 — Kalkulator</t>
        </is>
      </c>
      <c r="D19" s="106" t="inlineStr">
        <is>
          <t>S2.1</t>
        </is>
      </c>
      <c r="E19" s="120" t="inlineStr">
        <is>
          <t>Service Open-Meteo: radiasi harian + suhu rata-rata per koordinat</t>
        </is>
      </c>
      <c r="F19" s="106" t="inlineStr">
        <is>
          <t>Sri - Backend</t>
        </is>
      </c>
      <c r="G19" s="106" t="inlineStr">
        <is>
          <t>Sprint 2</t>
        </is>
      </c>
      <c r="H19" s="106" t="inlineStr">
        <is>
          <t>High</t>
        </is>
      </c>
      <c r="I19" s="106" t="inlineStr">
        <is>
          <t>Not Started</t>
        </is>
      </c>
      <c r="J19" s="118" t="n">
        <v>46279</v>
      </c>
      <c r="K19" s="118" t="n">
        <v>46281</v>
      </c>
      <c r="L19" s="109">
        <f>IF(K19="","",K19-TODAY())</f>
        <v/>
      </c>
      <c r="M19" s="120" t="inlineStr">
        <is>
          <t>HttpClient + System.Text.Json</t>
        </is>
      </c>
      <c r="N19" s="14" t="n"/>
      <c r="O19" s="14" t="n"/>
      <c r="P19" s="14" t="n"/>
      <c r="Q19" s="14" t="n"/>
      <c r="R19" s="14" t="n"/>
      <c r="S19" s="14" t="n"/>
      <c r="T19" s="14" t="n"/>
    </row>
    <row r="20">
      <c r="A20" s="14" t="n"/>
      <c r="B20" s="147" t="n">
        <v>10</v>
      </c>
      <c r="C20" s="120" t="inlineStr">
        <is>
          <t>S2 — Kalkulator</t>
        </is>
      </c>
      <c r="D20" s="106" t="inlineStr">
        <is>
          <t>S2.2</t>
        </is>
      </c>
      <c r="E20" s="120" t="inlineStr">
        <is>
          <t>Hitung kapasitas terpasang (kWp) dari luas atap, orientasi, kemiringan</t>
        </is>
      </c>
      <c r="F20" s="106" t="inlineStr">
        <is>
          <t>Sri - Backend</t>
        </is>
      </c>
      <c r="G20" s="106" t="inlineStr">
        <is>
          <t>Sprint 2</t>
        </is>
      </c>
      <c r="H20" s="106" t="inlineStr">
        <is>
          <t>High</t>
        </is>
      </c>
      <c r="I20" s="106" t="inlineStr">
        <is>
          <t>Not Started</t>
        </is>
      </c>
      <c r="J20" s="118" t="n">
        <v>46279</v>
      </c>
      <c r="K20" s="118" t="n">
        <v>46281</v>
      </c>
      <c r="L20" s="109">
        <f>IF(K20="","",K20-TODAY())</f>
        <v/>
      </c>
      <c r="M20" s="120" t="n"/>
      <c r="N20" s="14" t="n"/>
      <c r="O20" s="14" t="n"/>
      <c r="P20" s="14" t="n"/>
      <c r="Q20" s="14" t="n"/>
      <c r="R20" s="14" t="n"/>
      <c r="S20" s="14" t="n"/>
      <c r="T20" s="14" t="n"/>
    </row>
    <row r="21">
      <c r="A21" s="14" t="n"/>
      <c r="B21" s="98" t="n">
        <v>11</v>
      </c>
      <c r="C21" s="120" t="inlineStr">
        <is>
          <t>S2 — Kalkulator</t>
        </is>
      </c>
      <c r="D21" s="106" t="inlineStr">
        <is>
          <t>S2.3</t>
        </is>
      </c>
      <c r="E21" s="120" t="inlineStr">
        <is>
          <t>Rumus energi tahunan kWp x PSH x PR x 365 + koreksi suhu 0,4% per °C</t>
        </is>
      </c>
      <c r="F21" s="106" t="inlineStr">
        <is>
          <t>Sri - Backend</t>
        </is>
      </c>
      <c r="G21" s="106" t="inlineStr">
        <is>
          <t>Sprint 2</t>
        </is>
      </c>
      <c r="H21" s="106" t="inlineStr">
        <is>
          <t>High</t>
        </is>
      </c>
      <c r="I21" s="106" t="inlineStr">
        <is>
          <t>Not Started</t>
        </is>
      </c>
      <c r="J21" s="118" t="n">
        <v>46281</v>
      </c>
      <c r="K21" s="118" t="n">
        <v>46283</v>
      </c>
      <c r="L21" s="109">
        <f>IF(K21="","",K21-TODAY())</f>
        <v/>
      </c>
      <c r="M21" s="120" t="inlineStr">
        <is>
          <t>Inti perhitungan — wajib ada unit test</t>
        </is>
      </c>
      <c r="N21" s="14" t="n"/>
      <c r="O21" s="14" t="n"/>
      <c r="P21" s="14" t="n"/>
      <c r="Q21" s="14" t="n"/>
      <c r="R21" s="14" t="n"/>
      <c r="S21" s="14" t="n"/>
      <c r="T21" s="14" t="n"/>
    </row>
    <row r="22">
      <c r="A22" s="14" t="n"/>
      <c r="B22" s="147" t="n">
        <v>12</v>
      </c>
      <c r="C22" s="120" t="inlineStr">
        <is>
          <t>S2 — Kalkulator</t>
        </is>
      </c>
      <c r="D22" s="106" t="inlineStr">
        <is>
          <t>S2.4</t>
        </is>
      </c>
      <c r="E22" s="120" t="inlineStr">
        <is>
          <t>Halaman Input Simulasi: form, dropdown orientasi, slider kemiringan</t>
        </is>
      </c>
      <c r="F22" s="106" t="inlineStr">
        <is>
          <t>Mayra - Frontend</t>
        </is>
      </c>
      <c r="G22" s="106" t="inlineStr">
        <is>
          <t>Sprint 2</t>
        </is>
      </c>
      <c r="H22" s="106" t="inlineStr">
        <is>
          <t>High</t>
        </is>
      </c>
      <c r="I22" s="106" t="inlineStr">
        <is>
          <t>Not Started</t>
        </is>
      </c>
      <c r="J22" s="118" t="n">
        <v>46279</v>
      </c>
      <c r="K22" s="118" t="n">
        <v>46283</v>
      </c>
      <c r="L22" s="109">
        <f>IF(K22="","",K22-TODAY())</f>
        <v/>
      </c>
      <c r="M22" s="120" t="n"/>
      <c r="N22" s="14" t="n"/>
      <c r="O22" s="14" t="n"/>
      <c r="P22" s="14" t="n"/>
      <c r="Q22" s="14" t="n"/>
      <c r="R22" s="14" t="n"/>
      <c r="S22" s="14" t="n"/>
      <c r="T22" s="14" t="n"/>
    </row>
    <row r="23" ht="15.75" customHeight="1" s="177">
      <c r="A23" s="14" t="n"/>
      <c r="B23" s="98" t="n">
        <v>13</v>
      </c>
      <c r="C23" s="120" t="inlineStr">
        <is>
          <t>S2 — Kalkulator</t>
        </is>
      </c>
      <c r="D23" s="106" t="inlineStr">
        <is>
          <t>S2.5</t>
        </is>
      </c>
      <c r="E23" s="120" t="inlineStr">
        <is>
          <t>INotifyPropertyChanged supaya preview kWp update saat form diketik</t>
        </is>
      </c>
      <c r="F23" s="106" t="inlineStr">
        <is>
          <t>Mayra - Frontend</t>
        </is>
      </c>
      <c r="G23" s="106" t="inlineStr">
        <is>
          <t>Sprint 2</t>
        </is>
      </c>
      <c r="H23" s="106" t="inlineStr">
        <is>
          <t>High</t>
        </is>
      </c>
      <c r="I23" s="106" t="inlineStr">
        <is>
          <t>Not Started</t>
        </is>
      </c>
      <c r="J23" s="118" t="n">
        <v>46282</v>
      </c>
      <c r="K23" s="118" t="n">
        <v>46284</v>
      </c>
      <c r="L23" s="109">
        <f>IF(K23="","",K23-TODAY())</f>
        <v/>
      </c>
      <c r="M23" s="120" t="inlineStr">
        <is>
          <t>Titik masuk pola MVVM</t>
        </is>
      </c>
      <c r="N23" s="14" t="n"/>
      <c r="O23" s="14" t="n"/>
      <c r="P23" s="14" t="n"/>
      <c r="Q23" s="14" t="n"/>
      <c r="R23" s="14" t="n"/>
      <c r="S23" s="14" t="n"/>
      <c r="T23" s="14" t="n"/>
    </row>
    <row r="24" ht="15.75" customHeight="1" s="177">
      <c r="A24" s="14" t="n"/>
      <c r="B24" s="147" t="n">
        <v>14</v>
      </c>
      <c r="C24" s="120" t="inlineStr">
        <is>
          <t>S2 — Kalkulator</t>
        </is>
      </c>
      <c r="D24" s="106" t="inlineStr">
        <is>
          <t>S2.6</t>
        </is>
      </c>
      <c r="E24" s="120" t="inlineStr">
        <is>
          <t>Data golongan tarif PLN (R-1 900VA s.d. R-3) + opsi tarif manual</t>
        </is>
      </c>
      <c r="F24" s="106" t="inlineStr">
        <is>
          <t>Sri - Backend</t>
        </is>
      </c>
      <c r="G24" s="106" t="inlineStr">
        <is>
          <t>Sprint 2</t>
        </is>
      </c>
      <c r="H24" s="106" t="inlineStr">
        <is>
          <t>Medium</t>
        </is>
      </c>
      <c r="I24" s="106" t="inlineStr">
        <is>
          <t>Not Started</t>
        </is>
      </c>
      <c r="J24" s="118" t="n">
        <v>46281</v>
      </c>
      <c r="K24" s="118" t="n">
        <v>46283</v>
      </c>
      <c r="L24" s="109">
        <f>IF(K24="","",K24-TODAY())</f>
        <v/>
      </c>
      <c r="M24" s="120" t="inlineStr">
        <is>
          <t>Sumber tarif harus dicatat</t>
        </is>
      </c>
      <c r="N24" s="14" t="n"/>
      <c r="O24" s="14" t="n"/>
      <c r="P24" s="14" t="n"/>
      <c r="Q24" s="14" t="n"/>
      <c r="R24" s="14" t="n"/>
      <c r="S24" s="14" t="n"/>
      <c r="T24" s="14" t="n"/>
    </row>
    <row r="25" ht="15.75" customHeight="1" s="177">
      <c r="A25" s="14" t="n"/>
      <c r="B25" s="98" t="n">
        <v>15</v>
      </c>
      <c r="C25" s="132" t="inlineStr">
        <is>
          <t>S2 — Kalkulator</t>
        </is>
      </c>
      <c r="D25" s="106" t="inlineStr">
        <is>
          <t>S2.7</t>
        </is>
      </c>
      <c r="E25" s="120" t="inlineStr">
        <is>
          <t>Review arsitektur: pemisahan Service / Model / View sudah bersih?</t>
        </is>
      </c>
      <c r="F25" s="106" t="inlineStr">
        <is>
          <t>Farrel - Arch &amp; UI</t>
        </is>
      </c>
      <c r="G25" s="106" t="inlineStr">
        <is>
          <t>Sprint 2</t>
        </is>
      </c>
      <c r="H25" s="106" t="inlineStr">
        <is>
          <t>Medium</t>
        </is>
      </c>
      <c r="I25" s="106" t="inlineStr">
        <is>
          <t>Not Started</t>
        </is>
      </c>
      <c r="J25" s="118" t="n">
        <v>46284</v>
      </c>
      <c r="K25" s="118" t="n">
        <v>46285</v>
      </c>
      <c r="L25" s="109">
        <f>IF(K25="","",K25-TODAY())</f>
        <v/>
      </c>
      <c r="M25" s="120" t="n"/>
      <c r="N25" s="14" t="n"/>
      <c r="O25" s="14" t="n"/>
      <c r="P25" s="14" t="n"/>
      <c r="Q25" s="14" t="n"/>
      <c r="R25" s="14" t="n"/>
      <c r="S25" s="14" t="n"/>
      <c r="T25" s="14" t="n"/>
    </row>
    <row r="26" ht="15.75" customHeight="1" s="177">
      <c r="A26" s="14" t="n"/>
      <c r="B26" s="147" t="n">
        <v>16</v>
      </c>
      <c r="C26" s="132" t="inlineStr">
        <is>
          <t>S2 — Kalkulator</t>
        </is>
      </c>
      <c r="D26" s="106" t="inlineStr">
        <is>
          <t>S2.8</t>
        </is>
      </c>
      <c r="E26" s="120" t="inlineStr">
        <is>
          <t>Uji silang 3 skenario input terhadap PVGIS untuk validasi hasil</t>
        </is>
      </c>
      <c r="F26" s="106" t="inlineStr">
        <is>
          <t>Farrel - Arch &amp; UI</t>
        </is>
      </c>
      <c r="G26" s="106" t="inlineStr">
        <is>
          <t>Sprint 2</t>
        </is>
      </c>
      <c r="H26" s="106" t="inlineStr">
        <is>
          <t>High</t>
        </is>
      </c>
      <c r="I26" s="106" t="inlineStr">
        <is>
          <t>Not Started</t>
        </is>
      </c>
      <c r="J26" s="118" t="n">
        <v>46284</v>
      </c>
      <c r="K26" s="118" t="n">
        <v>46285</v>
      </c>
      <c r="L26" s="109">
        <f>IF(K26="","",K26-TODAY())</f>
        <v/>
      </c>
      <c r="M26" s="120" t="inlineStr">
        <is>
          <t>Bukti bahwa perhitungan tidak asal</t>
        </is>
      </c>
      <c r="N26" s="14" t="n"/>
      <c r="O26" s="14" t="n"/>
      <c r="P26" s="14" t="n"/>
      <c r="Q26" s="14" t="n"/>
      <c r="R26" s="14" t="n"/>
      <c r="S26" s="14" t="n"/>
      <c r="T26" s="14" t="n"/>
    </row>
    <row r="27" ht="15.75" customHeight="1" s="177">
      <c r="A27" s="14" t="n"/>
      <c r="B27" s="98" t="n">
        <v>17</v>
      </c>
      <c r="C27" s="132" t="inlineStr">
        <is>
          <t>S3 — Hasil</t>
        </is>
      </c>
      <c r="D27" s="106" t="inlineStr">
        <is>
          <t>S3.1</t>
        </is>
      </c>
      <c r="E27" s="120" t="inlineStr">
        <is>
          <t>Halaman Hasil Energi: KPI + bar chart produksi 12 bulan</t>
        </is>
      </c>
      <c r="F27" s="106" t="inlineStr">
        <is>
          <t>Mayra - Frontend</t>
        </is>
      </c>
      <c r="G27" s="106" t="inlineStr">
        <is>
          <t>Sprint 3</t>
        </is>
      </c>
      <c r="H27" s="106" t="inlineStr">
        <is>
          <t>High</t>
        </is>
      </c>
      <c r="I27" s="106" t="inlineStr">
        <is>
          <t>Not Started</t>
        </is>
      </c>
      <c r="J27" s="118" t="n">
        <v>46286</v>
      </c>
      <c r="K27" s="118" t="n">
        <v>46289</v>
      </c>
      <c r="L27" s="109">
        <f>IF(K27="","",K27-TODAY())</f>
        <v/>
      </c>
      <c r="M27" s="120" t="inlineStr">
        <is>
          <t>ItemsControl + Rectangle, tanpa library</t>
        </is>
      </c>
      <c r="N27" s="14" t="n"/>
      <c r="O27" s="14" t="n"/>
      <c r="P27" s="14" t="n"/>
      <c r="Q27" s="14" t="n"/>
      <c r="R27" s="14" t="n"/>
      <c r="S27" s="14" t="n"/>
      <c r="T27" s="14" t="n"/>
    </row>
    <row r="28" ht="15.75" customHeight="1" s="177">
      <c r="A28" s="14" t="n"/>
      <c r="B28" s="147" t="n">
        <v>18</v>
      </c>
      <c r="C28" s="132" t="inlineStr">
        <is>
          <t>S3 — Hasil</t>
        </is>
      </c>
      <c r="D28" s="106" t="inlineStr">
        <is>
          <t>S3.2</t>
        </is>
      </c>
      <c r="E28" s="120" t="inlineStr">
        <is>
          <t>Panel asumsi perhitungan terbuka (PSH, PR, koreksi suhu, degradasi)</t>
        </is>
      </c>
      <c r="F28" s="106" t="inlineStr">
        <is>
          <t>Mayra - Frontend</t>
        </is>
      </c>
      <c r="G28" s="106" t="inlineStr">
        <is>
          <t>Sprint 3</t>
        </is>
      </c>
      <c r="H28" s="106" t="inlineStr">
        <is>
          <t>High</t>
        </is>
      </c>
      <c r="I28" s="106" t="inlineStr">
        <is>
          <t>Not Started</t>
        </is>
      </c>
      <c r="J28" s="118" t="n">
        <v>46287</v>
      </c>
      <c r="K28" s="118" t="n">
        <v>46289</v>
      </c>
      <c r="L28" s="109">
        <f>IF(K28="","",K28-TODAY())</f>
        <v/>
      </c>
      <c r="M28" s="120" t="inlineStr">
        <is>
          <t>Pembeda utama produk</t>
        </is>
      </c>
      <c r="N28" s="14" t="n"/>
      <c r="O28" s="14" t="n"/>
      <c r="P28" s="14" t="n"/>
      <c r="Q28" s="14" t="n"/>
      <c r="R28" s="14" t="n"/>
      <c r="S28" s="14" t="n"/>
      <c r="T28" s="14" t="n"/>
    </row>
    <row r="29" ht="15.75" customHeight="1" s="177">
      <c r="A29" s="14" t="n"/>
      <c r="B29" s="98" t="n">
        <v>19</v>
      </c>
      <c r="C29" s="132" t="inlineStr">
        <is>
          <t>S3 — Hasil</t>
        </is>
      </c>
      <c r="D29" s="106" t="inlineStr">
        <is>
          <t>S3.3</t>
        </is>
      </c>
      <c r="E29" s="120" t="inlineStr">
        <is>
          <t>Perhitungan finansial: biaya instalasi, hemat/bulan, periode balik modal</t>
        </is>
      </c>
      <c r="F29" s="106" t="inlineStr">
        <is>
          <t>Sri - Backend</t>
        </is>
      </c>
      <c r="G29" s="106" t="inlineStr">
        <is>
          <t>Sprint 3</t>
        </is>
      </c>
      <c r="H29" s="106" t="inlineStr">
        <is>
          <t>High</t>
        </is>
      </c>
      <c r="I29" s="106" t="inlineStr">
        <is>
          <t>Not Started</t>
        </is>
      </c>
      <c r="J29" s="118" t="n">
        <v>46286</v>
      </c>
      <c r="K29" s="118" t="n">
        <v>46289</v>
      </c>
      <c r="L29" s="109">
        <f>IF(K29="","",K29-TODAY())</f>
        <v/>
      </c>
      <c r="M29" s="120" t="n"/>
      <c r="N29" s="14" t="n"/>
      <c r="O29" s="14" t="n"/>
      <c r="P29" s="14" t="n"/>
      <c r="Q29" s="14" t="n"/>
      <c r="R29" s="14" t="n"/>
      <c r="S29" s="14" t="n"/>
      <c r="T29" s="14" t="n"/>
    </row>
    <row r="30" ht="15.75" customHeight="1" s="177">
      <c r="A30" s="14" t="n"/>
      <c r="B30" s="98" t="n">
        <v>20</v>
      </c>
      <c r="C30" s="132" t="inlineStr">
        <is>
          <t>S3 — Hasil</t>
        </is>
      </c>
      <c r="D30" s="106" t="inlineStr">
        <is>
          <t>S3.4</t>
        </is>
      </c>
      <c r="E30" s="120" t="inlineStr">
        <is>
          <t>Proyeksi arus kas kumulatif 25 tahun + degradasi panel 0,5% per tahun</t>
        </is>
      </c>
      <c r="F30" s="106" t="inlineStr">
        <is>
          <t>Sri - Backend</t>
        </is>
      </c>
      <c r="G30" s="106" t="inlineStr">
        <is>
          <t>Sprint 3</t>
        </is>
      </c>
      <c r="H30" s="106" t="inlineStr">
        <is>
          <t>High</t>
        </is>
      </c>
      <c r="I30" s="106" t="inlineStr">
        <is>
          <t>Not Started</t>
        </is>
      </c>
      <c r="J30" s="118" t="n">
        <v>46288</v>
      </c>
      <c r="K30" s="118" t="n">
        <v>46290</v>
      </c>
      <c r="L30" s="109">
        <f>IF(K30="","",K30-TODAY())</f>
        <v/>
      </c>
      <c r="M30" s="120" t="n"/>
      <c r="N30" s="14" t="n"/>
      <c r="O30" s="14" t="n"/>
      <c r="P30" s="14" t="n"/>
      <c r="Q30" s="14" t="n"/>
      <c r="R30" s="14" t="n"/>
      <c r="S30" s="14" t="n"/>
      <c r="T30" s="14" t="n"/>
    </row>
    <row r="31" ht="15.75" customHeight="1" s="177">
      <c r="A31" s="14" t="n"/>
      <c r="B31" s="98" t="n">
        <v>21</v>
      </c>
      <c r="C31" s="132" t="inlineStr">
        <is>
          <t>S3 — Hasil</t>
        </is>
      </c>
      <c r="D31" s="147" t="inlineStr">
        <is>
          <t>S3.5</t>
        </is>
      </c>
      <c r="E31" s="146" t="inlineStr">
        <is>
          <t>Halaman Hasil Finansial: kartu KPI + line chart Polyline</t>
        </is>
      </c>
      <c r="F31" s="147" t="inlineStr">
        <is>
          <t>Mayra - Frontend</t>
        </is>
      </c>
      <c r="G31" s="147" t="inlineStr">
        <is>
          <t>Sprint 3</t>
        </is>
      </c>
      <c r="H31" s="147" t="inlineStr">
        <is>
          <t>High</t>
        </is>
      </c>
      <c r="I31" s="147" t="inlineStr">
        <is>
          <t>Not Started</t>
        </is>
      </c>
      <c r="J31" s="148" t="n">
        <v>46289</v>
      </c>
      <c r="K31" s="148" t="n">
        <v>46292</v>
      </c>
      <c r="L31" s="149">
        <f>IF(K31="","",K31-TODAY())</f>
        <v/>
      </c>
      <c r="M31" s="146" t="n"/>
      <c r="N31" s="14" t="n"/>
      <c r="O31" s="14" t="n"/>
      <c r="P31" s="14" t="n"/>
      <c r="Q31" s="14" t="n"/>
      <c r="R31" s="14" t="n"/>
      <c r="S31" s="14" t="n"/>
      <c r="T31" s="14" t="n"/>
    </row>
    <row r="32" ht="15.75" customHeight="1" s="177">
      <c r="A32" s="14" t="n"/>
      <c r="B32" s="147" t="n">
        <v>22</v>
      </c>
      <c r="C32" s="132" t="inlineStr">
        <is>
          <t>S3 — Hasil</t>
        </is>
      </c>
      <c r="D32" s="147" t="inlineStr">
        <is>
          <t>S3.6</t>
        </is>
      </c>
      <c r="E32" s="146" t="inlineStr">
        <is>
          <t>Perhitungan CO2 dihindari + konversi ke setara pohon dan km</t>
        </is>
      </c>
      <c r="F32" s="147" t="inlineStr">
        <is>
          <t>Sri - Backend</t>
        </is>
      </c>
      <c r="G32" s="147" t="inlineStr">
        <is>
          <t>Sprint 3</t>
        </is>
      </c>
      <c r="H32" s="147" t="inlineStr">
        <is>
          <t>Medium</t>
        </is>
      </c>
      <c r="I32" s="147" t="inlineStr">
        <is>
          <t>Not Started</t>
        </is>
      </c>
      <c r="J32" s="148" t="n">
        <v>46289</v>
      </c>
      <c r="K32" s="148" t="n">
        <v>46291</v>
      </c>
      <c r="L32" s="149">
        <f>IF(K32="","",K32-TODAY())</f>
        <v/>
      </c>
      <c r="M32" s="146" t="inlineStr">
        <is>
          <t>Faktor emisi jaringan perlu sumber resmi</t>
        </is>
      </c>
      <c r="N32" s="14" t="n"/>
      <c r="O32" s="14" t="n"/>
      <c r="P32" s="14" t="n"/>
      <c r="Q32" s="14" t="n"/>
      <c r="R32" s="14" t="n"/>
      <c r="S32" s="14" t="n"/>
      <c r="T32" s="14" t="n"/>
    </row>
    <row r="33" ht="15.75" customHeight="1" s="177">
      <c r="A33" s="14" t="n"/>
      <c r="B33" s="98" t="n">
        <v>23</v>
      </c>
      <c r="C33" s="132" t="inlineStr">
        <is>
          <t>S3 — Hasil</t>
        </is>
      </c>
      <c r="D33" s="147" t="inlineStr">
        <is>
          <t>S3.7</t>
        </is>
      </c>
      <c r="E33" s="146" t="inlineStr">
        <is>
          <t>Review tampilan hasil terhadap mockup Figma</t>
        </is>
      </c>
      <c r="F33" s="147" t="inlineStr">
        <is>
          <t>Farrel - Arch &amp; UI</t>
        </is>
      </c>
      <c r="G33" s="147" t="inlineStr">
        <is>
          <t>Sprint 3</t>
        </is>
      </c>
      <c r="H33" s="147" t="inlineStr">
        <is>
          <t>Medium</t>
        </is>
      </c>
      <c r="I33" s="147" t="inlineStr">
        <is>
          <t>Not Started</t>
        </is>
      </c>
      <c r="J33" s="148" t="n">
        <v>46291</v>
      </c>
      <c r="K33" s="148" t="n">
        <v>46292</v>
      </c>
      <c r="L33" s="149">
        <f>IF(K33="","",K33-TODAY())</f>
        <v/>
      </c>
      <c r="M33" s="146" t="n"/>
      <c r="N33" s="14" t="n"/>
      <c r="O33" s="14" t="n"/>
      <c r="P33" s="14" t="n"/>
      <c r="Q33" s="14" t="n"/>
      <c r="R33" s="14" t="n"/>
      <c r="S33" s="14" t="n"/>
      <c r="T33" s="14" t="n"/>
    </row>
    <row r="34" ht="15.75" customHeight="1" s="177">
      <c r="A34" s="14" t="n"/>
      <c r="B34" s="147" t="n">
        <v>24</v>
      </c>
      <c r="C34" s="132" t="inlineStr">
        <is>
          <t>S4 — Basis Data</t>
        </is>
      </c>
      <c r="D34" s="147" t="inlineStr">
        <is>
          <t>S4.1</t>
        </is>
      </c>
      <c r="E34" s="146" t="inlineStr">
        <is>
          <t>Setup SQLite + skrip pembuatan tabel saat aplikasi pertama dijalankan</t>
        </is>
      </c>
      <c r="F34" s="147" t="inlineStr">
        <is>
          <t>Sri - Backend</t>
        </is>
      </c>
      <c r="G34" s="147" t="inlineStr">
        <is>
          <t>Sprint 4</t>
        </is>
      </c>
      <c r="H34" s="147" t="inlineStr">
        <is>
          <t>High</t>
        </is>
      </c>
      <c r="I34" s="147" t="inlineStr">
        <is>
          <t>Not Started</t>
        </is>
      </c>
      <c r="J34" s="148" t="n">
        <v>46293</v>
      </c>
      <c r="K34" s="148" t="n">
        <v>46295</v>
      </c>
      <c r="L34" s="149">
        <f>IF(K34="","",K34-TODAY())</f>
        <v/>
      </c>
      <c r="M34" s="146" t="inlineStr">
        <is>
          <t>Microsoft.Data.Sqlite</t>
        </is>
      </c>
      <c r="N34" s="14" t="n"/>
      <c r="O34" s="14" t="n"/>
      <c r="P34" s="14" t="n"/>
      <c r="Q34" s="14" t="n"/>
      <c r="R34" s="14" t="n"/>
      <c r="S34" s="14" t="n"/>
      <c r="T34" s="14" t="n"/>
    </row>
    <row r="35" ht="15.75" customHeight="1" s="177">
      <c r="A35" s="14" t="n"/>
      <c r="B35" s="98" t="n">
        <v>25</v>
      </c>
      <c r="C35" s="132" t="inlineStr">
        <is>
          <t>S4 — Basis Data</t>
        </is>
      </c>
      <c r="D35" s="147" t="inlineStr">
        <is>
          <t>S4.2</t>
        </is>
      </c>
      <c r="E35" s="146" t="inlineStr">
        <is>
          <t>Repository: simpan, baca, hapus simulasi</t>
        </is>
      </c>
      <c r="F35" s="147" t="inlineStr">
        <is>
          <t>Sri - Backend</t>
        </is>
      </c>
      <c r="G35" s="147" t="inlineStr">
        <is>
          <t>Sprint 4</t>
        </is>
      </c>
      <c r="H35" s="147" t="inlineStr">
        <is>
          <t>High</t>
        </is>
      </c>
      <c r="I35" s="147" t="inlineStr">
        <is>
          <t>Not Started</t>
        </is>
      </c>
      <c r="J35" s="252" t="n">
        <v>46294</v>
      </c>
      <c r="K35" s="148" t="n">
        <v>46296</v>
      </c>
      <c r="L35" s="149">
        <f>IF(K35="","",K35-TODAY())</f>
        <v/>
      </c>
      <c r="M35" s="146" t="n"/>
      <c r="N35" s="14" t="n"/>
      <c r="O35" s="14" t="n"/>
      <c r="P35" s="14" t="n"/>
      <c r="Q35" s="14" t="n"/>
      <c r="R35" s="14" t="n"/>
      <c r="S35" s="14" t="n"/>
      <c r="T35" s="14" t="n"/>
    </row>
    <row r="36" ht="15.75" customHeight="1" s="177">
      <c r="A36" s="14" t="n"/>
      <c r="B36" s="98" t="n">
        <v>26</v>
      </c>
      <c r="C36" s="132" t="inlineStr">
        <is>
          <t>S4 — Basis Data</t>
        </is>
      </c>
      <c r="D36" s="106" t="inlineStr">
        <is>
          <t>S4.3</t>
        </is>
      </c>
      <c r="E36" s="120" t="inlineStr">
        <is>
          <t>Halaman Riwayat: tabel skenario + checkbox pilih</t>
        </is>
      </c>
      <c r="F36" s="106" t="inlineStr">
        <is>
          <t>Mayra - Frontend</t>
        </is>
      </c>
      <c r="G36" s="106" t="inlineStr">
        <is>
          <t>Sprint 4</t>
        </is>
      </c>
      <c r="H36" s="106" t="inlineStr">
        <is>
          <t>High</t>
        </is>
      </c>
      <c r="I36" s="106" t="inlineStr">
        <is>
          <t>Not Started</t>
        </is>
      </c>
      <c r="J36" s="118" t="n">
        <v>46294</v>
      </c>
      <c r="K36" s="118" t="n">
        <v>46297</v>
      </c>
      <c r="L36" s="109">
        <f>IF(K36="","",K36-TODAY())</f>
        <v/>
      </c>
      <c r="M36" s="120" t="n"/>
      <c r="N36" s="14" t="n"/>
      <c r="O36" s="14" t="n"/>
      <c r="P36" s="14" t="n"/>
      <c r="Q36" s="14" t="n"/>
      <c r="R36" s="14" t="n"/>
      <c r="S36" s="14" t="n"/>
      <c r="T36" s="14" t="n"/>
    </row>
    <row r="37" ht="15.75" customHeight="1" s="177">
      <c r="A37" s="14" t="n"/>
      <c r="B37" s="98" t="n">
        <v>27</v>
      </c>
      <c r="C37" s="132" t="inlineStr">
        <is>
          <t>S4 — Basis Data</t>
        </is>
      </c>
      <c r="D37" s="106" t="inlineStr">
        <is>
          <t>S4.4</t>
        </is>
      </c>
      <c r="E37" s="120" t="inlineStr">
        <is>
          <t>Fitur banding 2-3 skenario berdampingan</t>
        </is>
      </c>
      <c r="F37" s="106" t="inlineStr">
        <is>
          <t>Mayra - Frontend</t>
        </is>
      </c>
      <c r="G37" s="106" t="inlineStr">
        <is>
          <t>Sprint 4</t>
        </is>
      </c>
      <c r="H37" s="106" t="inlineStr">
        <is>
          <t>Medium</t>
        </is>
      </c>
      <c r="I37" s="106" t="inlineStr">
        <is>
          <t>Not Started</t>
        </is>
      </c>
      <c r="J37" s="118" t="n">
        <v>46296</v>
      </c>
      <c r="K37" s="118" t="n">
        <v>46298</v>
      </c>
      <c r="L37" s="109">
        <f>IF(K37="","",K37-TODAY())</f>
        <v/>
      </c>
      <c r="M37" s="120" t="n"/>
      <c r="N37" s="14" t="n"/>
      <c r="O37" s="14" t="n"/>
      <c r="P37" s="14" t="n"/>
      <c r="Q37" s="14" t="n"/>
      <c r="R37" s="14" t="n"/>
      <c r="S37" s="14" t="n"/>
      <c r="T37" s="14" t="n"/>
    </row>
    <row r="38" ht="15.75" customHeight="1" s="177">
      <c r="A38" s="14" t="n"/>
      <c r="B38" s="147" t="n">
        <v>28</v>
      </c>
      <c r="C38" s="132" t="inlineStr">
        <is>
          <t>S4 — Basis Data</t>
        </is>
      </c>
      <c r="D38" s="147" t="inlineStr">
        <is>
          <t>S4.5</t>
        </is>
      </c>
      <c r="E38" s="146" t="inlineStr">
        <is>
          <t>Navigasi antar halaman lewat sidebar</t>
        </is>
      </c>
      <c r="F38" s="147" t="inlineStr">
        <is>
          <t>Mayra - Frontend</t>
        </is>
      </c>
      <c r="G38" s="147" t="inlineStr">
        <is>
          <t>Sprint 4</t>
        </is>
      </c>
      <c r="H38" s="147" t="inlineStr">
        <is>
          <t>High</t>
        </is>
      </c>
      <c r="I38" s="147" t="inlineStr">
        <is>
          <t>Not Started</t>
        </is>
      </c>
      <c r="J38" s="148" t="n">
        <v>46293</v>
      </c>
      <c r="K38" s="148" t="n">
        <v>46295</v>
      </c>
      <c r="L38" s="149">
        <f>IF(K38="","",K38-TODAY())</f>
        <v/>
      </c>
      <c r="M38" s="146" t="inlineStr">
        <is>
          <t>Saat ini sidebar belum berfungsi</t>
        </is>
      </c>
      <c r="N38" s="14" t="n"/>
      <c r="O38" s="14" t="n"/>
      <c r="P38" s="14" t="n"/>
      <c r="Q38" s="14" t="n"/>
      <c r="R38" s="14" t="n"/>
      <c r="S38" s="14" t="n"/>
      <c r="T38" s="14" t="n"/>
    </row>
    <row r="39" ht="15.75" customHeight="1" s="177">
      <c r="A39" s="14" t="n"/>
      <c r="B39" s="147" t="n">
        <v>29</v>
      </c>
      <c r="C39" s="132" t="inlineStr">
        <is>
          <t>S4 — Basis Data</t>
        </is>
      </c>
      <c r="D39" s="106" t="inlineStr">
        <is>
          <t>S4.6</t>
        </is>
      </c>
      <c r="E39" s="120" t="inlineStr">
        <is>
          <t>Query uji: agregasi + filter untuk laporan Teknik Basis Data</t>
        </is>
      </c>
      <c r="F39" s="106" t="inlineStr">
        <is>
          <t>Sri - Backend</t>
        </is>
      </c>
      <c r="G39" s="106" t="inlineStr">
        <is>
          <t>Sprint 4</t>
        </is>
      </c>
      <c r="H39" s="106" t="inlineStr">
        <is>
          <t>Medium</t>
        </is>
      </c>
      <c r="I39" s="106" t="inlineStr">
        <is>
          <t>Not Started</t>
        </is>
      </c>
      <c r="J39" s="118" t="n">
        <v>46297</v>
      </c>
      <c r="K39" s="118" t="n">
        <v>46299</v>
      </c>
      <c r="L39" s="109">
        <f>IF(K39="","",K39-TODAY())</f>
        <v/>
      </c>
      <c r="M39" s="120" t="inlineStr">
        <is>
          <t>Tunjukkan SQL asli ke dosen</t>
        </is>
      </c>
      <c r="N39" s="14" t="n"/>
      <c r="O39" s="14" t="n"/>
      <c r="P39" s="14" t="n"/>
      <c r="Q39" s="14" t="n"/>
      <c r="R39" s="14" t="n"/>
      <c r="S39" s="14" t="n"/>
      <c r="T39" s="14" t="n"/>
    </row>
    <row r="40" ht="15.75" customHeight="1" s="177">
      <c r="A40" s="14" t="n"/>
      <c r="B40" s="98" t="n">
        <v>30</v>
      </c>
      <c r="C40" s="132" t="inlineStr">
        <is>
          <t>S4 — Basis Data</t>
        </is>
      </c>
      <c r="D40" s="147" t="inlineStr">
        <is>
          <t>S4.7</t>
        </is>
      </c>
      <c r="E40" s="146" t="inlineStr">
        <is>
          <t>Dokumentasi ERD + penjelasan relasi antar tabel</t>
        </is>
      </c>
      <c r="F40" s="147" t="inlineStr">
        <is>
          <t>Farrel - Arch &amp; UI</t>
        </is>
      </c>
      <c r="G40" s="147" t="inlineStr">
        <is>
          <t>Sprint 4</t>
        </is>
      </c>
      <c r="H40" s="147" t="inlineStr">
        <is>
          <t>Medium</t>
        </is>
      </c>
      <c r="I40" s="147" t="inlineStr">
        <is>
          <t>Not Started</t>
        </is>
      </c>
      <c r="J40" s="148" t="n">
        <v>46297</v>
      </c>
      <c r="K40" s="148" t="n">
        <v>46299</v>
      </c>
      <c r="L40" s="149">
        <f>IF(K40="","",K40-TODAY())</f>
        <v/>
      </c>
      <c r="M40" s="146" t="n"/>
      <c r="N40" s="14" t="n"/>
      <c r="O40" s="14" t="n"/>
      <c r="P40" s="14" t="n"/>
      <c r="Q40" s="14" t="n"/>
      <c r="R40" s="14" t="n"/>
      <c r="S40" s="14" t="n"/>
      <c r="T40" s="14" t="n"/>
    </row>
    <row r="41" ht="15.75" customHeight="1" s="177">
      <c r="A41" s="14" t="n"/>
      <c r="B41" s="98" t="n">
        <v>31</v>
      </c>
      <c r="C41" s="132" t="inlineStr">
        <is>
          <t>S5 — Poles &amp; Demo</t>
        </is>
      </c>
      <c r="D41" s="147" t="inlineStr">
        <is>
          <t>S5.1</t>
        </is>
      </c>
      <c r="E41" s="146" t="inlineStr">
        <is>
          <t>Perbaikan bug hasil uji coba semua halaman</t>
        </is>
      </c>
      <c r="F41" s="147" t="inlineStr">
        <is>
          <t>Semua</t>
        </is>
      </c>
      <c r="G41" s="147" t="inlineStr">
        <is>
          <t>Sprint 5</t>
        </is>
      </c>
      <c r="H41" s="147" t="inlineStr">
        <is>
          <t>High</t>
        </is>
      </c>
      <c r="I41" s="147" t="inlineStr">
        <is>
          <t>Not Started</t>
        </is>
      </c>
      <c r="J41" s="148" t="n">
        <v>46300</v>
      </c>
      <c r="K41" s="148" t="n">
        <v>46303</v>
      </c>
      <c r="L41" s="149">
        <f>IF(K41="","",K41-TODAY())</f>
        <v/>
      </c>
      <c r="M41" s="146" t="n"/>
      <c r="N41" s="14" t="n"/>
      <c r="O41" s="14" t="n"/>
      <c r="P41" s="14" t="n"/>
      <c r="Q41" s="14" t="n"/>
      <c r="R41" s="14" t="n"/>
      <c r="S41" s="14" t="n"/>
      <c r="T41" s="14" t="n"/>
    </row>
    <row r="42" ht="15.75" customHeight="1" s="177">
      <c r="A42" s="14" t="n"/>
      <c r="B42" s="98" t="n">
        <v>32</v>
      </c>
      <c r="C42" s="132" t="inlineStr">
        <is>
          <t>S5 — Poles &amp; Demo</t>
        </is>
      </c>
      <c r="D42" s="147" t="inlineStr">
        <is>
          <t>S5.2</t>
        </is>
      </c>
      <c r="E42" s="146" t="inlineStr">
        <is>
          <t>Samakan visual semua halaman dengan design system</t>
        </is>
      </c>
      <c r="F42" s="147" t="inlineStr">
        <is>
          <t>Farrel - Arch &amp; UI</t>
        </is>
      </c>
      <c r="G42" s="147" t="inlineStr">
        <is>
          <t>Sprint 5</t>
        </is>
      </c>
      <c r="H42" s="147" t="inlineStr">
        <is>
          <t>Medium</t>
        </is>
      </c>
      <c r="I42" s="147" t="inlineStr">
        <is>
          <t>Not Started</t>
        </is>
      </c>
      <c r="J42" s="148" t="n">
        <v>46300</v>
      </c>
      <c r="K42" s="148" t="n">
        <v>46302</v>
      </c>
      <c r="L42" s="149">
        <f>IF(K42="","",K42-TODAY())</f>
        <v/>
      </c>
      <c r="M42" s="146" t="n"/>
      <c r="N42" s="14" t="n"/>
      <c r="O42" s="14" t="n"/>
      <c r="P42" s="14" t="n"/>
      <c r="Q42" s="14" t="n"/>
      <c r="R42" s="14" t="n"/>
      <c r="S42" s="14" t="n"/>
      <c r="T42" s="14" t="n"/>
    </row>
    <row r="43" ht="15.75" customHeight="1" s="177">
      <c r="A43" s="14" t="n"/>
      <c r="B43" s="98" t="n">
        <v>33</v>
      </c>
      <c r="C43" s="132" t="inlineStr">
        <is>
          <t>S5 — Poles &amp; Demo</t>
        </is>
      </c>
      <c r="D43" s="147" t="inlineStr">
        <is>
          <t>S5.3</t>
        </is>
      </c>
      <c r="E43" s="146" t="inlineStr">
        <is>
          <t>Lengkapi README: cara build, screenshot, ERD, sumber data</t>
        </is>
      </c>
      <c r="F43" s="147" t="inlineStr">
        <is>
          <t>Farrel - Arch &amp; UI</t>
        </is>
      </c>
      <c r="G43" s="147" t="inlineStr">
        <is>
          <t>Sprint 5</t>
        </is>
      </c>
      <c r="H43" s="147" t="inlineStr">
        <is>
          <t>High</t>
        </is>
      </c>
      <c r="I43" s="147" t="inlineStr">
        <is>
          <t>Not Started</t>
        </is>
      </c>
      <c r="J43" s="148" t="n">
        <v>46301</v>
      </c>
      <c r="K43" s="148" t="n">
        <v>46303</v>
      </c>
      <c r="L43" s="149">
        <f>IF(K43="","",K43-TODAY())</f>
        <v/>
      </c>
      <c r="M43" s="146" t="n"/>
      <c r="N43" s="14" t="n"/>
      <c r="O43" s="14" t="n"/>
      <c r="P43" s="14" t="n"/>
      <c r="Q43" s="14" t="n"/>
      <c r="R43" s="14" t="n"/>
      <c r="S43" s="14" t="n"/>
      <c r="T43" s="14" t="n"/>
    </row>
    <row r="44" ht="15.75" customHeight="1" s="177">
      <c r="A44" s="14" t="n"/>
      <c r="B44" s="147" t="n">
        <v>34</v>
      </c>
      <c r="C44" s="132" t="inlineStr">
        <is>
          <t>S5 — Poles &amp; Demo</t>
        </is>
      </c>
      <c r="D44" s="147" t="inlineStr">
        <is>
          <t>S5.4</t>
        </is>
      </c>
      <c r="E44" s="146" t="inlineStr">
        <is>
          <t>Uji di laptop lain: pastikan jalan tanpa instalasi tambahan</t>
        </is>
      </c>
      <c r="F44" s="147" t="inlineStr">
        <is>
          <t>Sri - Backend</t>
        </is>
      </c>
      <c r="G44" s="147" t="inlineStr">
        <is>
          <t>Sprint 5</t>
        </is>
      </c>
      <c r="H44" s="147" t="inlineStr">
        <is>
          <t>High</t>
        </is>
      </c>
      <c r="I44" s="147" t="inlineStr">
        <is>
          <t>Not Started</t>
        </is>
      </c>
      <c r="J44" s="148" t="n">
        <v>46302</v>
      </c>
      <c r="K44" s="148" t="n">
        <v>46304</v>
      </c>
      <c r="L44" s="149">
        <f>IF(K44="","",K44-TODAY())</f>
        <v/>
      </c>
      <c r="M44" s="146" t="inlineStr">
        <is>
          <t>Risiko terbesar saat demo</t>
        </is>
      </c>
      <c r="N44" s="14" t="n"/>
      <c r="O44" s="14" t="n"/>
      <c r="P44" s="14" t="n"/>
      <c r="Q44" s="14" t="n"/>
      <c r="R44" s="14" t="n"/>
      <c r="S44" s="14" t="n"/>
      <c r="T44" s="14" t="n"/>
    </row>
    <row r="45" ht="15.75" customHeight="1" s="177">
      <c r="A45" s="14" t="n"/>
      <c r="B45" s="147" t="n">
        <v>35</v>
      </c>
      <c r="C45" s="132" t="inlineStr">
        <is>
          <t>S5 — Poles &amp; Demo</t>
        </is>
      </c>
      <c r="D45" s="147" t="inlineStr">
        <is>
          <t>S5.5</t>
        </is>
      </c>
      <c r="E45" s="146" t="inlineStr">
        <is>
          <t>Siapkan slide + skenario demo</t>
        </is>
      </c>
      <c r="F45" s="147" t="inlineStr">
        <is>
          <t>Farrel - Arch &amp; UI</t>
        </is>
      </c>
      <c r="G45" s="147" t="inlineStr">
        <is>
          <t>Sprint 5</t>
        </is>
      </c>
      <c r="H45" s="147" t="inlineStr">
        <is>
          <t>High</t>
        </is>
      </c>
      <c r="I45" s="147" t="inlineStr">
        <is>
          <t>Not Started</t>
        </is>
      </c>
      <c r="J45" s="148" t="n">
        <v>46303</v>
      </c>
      <c r="K45" s="148" t="n">
        <v>46305</v>
      </c>
      <c r="L45" s="149">
        <f>IF(K45="","",K45-TODAY())</f>
        <v/>
      </c>
      <c r="M45" s="146" t="n"/>
      <c r="N45" s="14" t="n"/>
      <c r="O45" s="14" t="n"/>
      <c r="P45" s="14" t="n"/>
      <c r="Q45" s="14" t="n"/>
      <c r="R45" s="14" t="n"/>
      <c r="S45" s="14" t="n"/>
      <c r="T45" s="14" t="n"/>
    </row>
    <row r="46" ht="15.75" customHeight="1" s="177">
      <c r="A46" s="14" t="n"/>
      <c r="B46" s="98" t="n">
        <v>36</v>
      </c>
      <c r="C46" s="132" t="inlineStr">
        <is>
          <t>S5 — Poles &amp; Demo</t>
        </is>
      </c>
      <c r="D46" s="147" t="inlineStr">
        <is>
          <t>S5.6</t>
        </is>
      </c>
      <c r="E46" s="146" t="inlineStr">
        <is>
          <t>Latihan demo bersama</t>
        </is>
      </c>
      <c r="F46" s="147" t="inlineStr">
        <is>
          <t>Semua</t>
        </is>
      </c>
      <c r="G46" s="147" t="inlineStr">
        <is>
          <t>Sprint 5</t>
        </is>
      </c>
      <c r="H46" s="147" t="inlineStr">
        <is>
          <t>Medium</t>
        </is>
      </c>
      <c r="I46" s="147" t="inlineStr">
        <is>
          <t>Not Started</t>
        </is>
      </c>
      <c r="J46" s="148" t="n">
        <v>46305</v>
      </c>
      <c r="K46" s="148" t="n">
        <v>46306</v>
      </c>
      <c r="L46" s="149">
        <f>IF(K46="","",K46-TODAY())</f>
        <v/>
      </c>
      <c r="M46" s="146" t="n"/>
      <c r="N46" s="14" t="n"/>
      <c r="O46" s="14" t="n"/>
      <c r="P46" s="14" t="n"/>
      <c r="Q46" s="14" t="n"/>
      <c r="R46" s="14" t="n"/>
      <c r="S46" s="14" t="n"/>
      <c r="T46" s="14" t="n"/>
    </row>
    <row r="47" ht="15.75" customHeight="1" s="177">
      <c r="A47" s="14" t="n"/>
      <c r="B47" s="98" t="n"/>
      <c r="C47" s="132" t="n"/>
      <c r="D47" s="147" t="n"/>
      <c r="E47" s="146" t="n"/>
      <c r="F47" s="147" t="n"/>
      <c r="G47" s="147" t="n"/>
      <c r="H47" s="147" t="n"/>
      <c r="I47" s="147" t="n"/>
      <c r="J47" s="148" t="n"/>
      <c r="K47" s="148" t="n"/>
      <c r="L47" s="149" t="n"/>
      <c r="M47" s="146" t="n"/>
      <c r="N47" s="14" t="n"/>
      <c r="O47" s="14" t="n"/>
      <c r="P47" s="14" t="n"/>
      <c r="Q47" s="14" t="n"/>
      <c r="R47" s="14" t="n"/>
      <c r="S47" s="14" t="n"/>
      <c r="T47" s="14" t="n"/>
    </row>
    <row r="48" ht="15.75" customHeight="1" s="177">
      <c r="A48" s="14" t="n"/>
      <c r="B48" s="98" t="n"/>
      <c r="C48" s="132" t="n"/>
      <c r="D48" s="147" t="n"/>
      <c r="E48" s="146" t="n"/>
      <c r="F48" s="147" t="n"/>
      <c r="G48" s="147" t="n"/>
      <c r="H48" s="147" t="n"/>
      <c r="I48" s="147" t="n"/>
      <c r="J48" s="148" t="n"/>
      <c r="K48" s="148" t="n"/>
      <c r="L48" s="149" t="n"/>
      <c r="M48" s="146" t="n"/>
      <c r="N48" s="14" t="n"/>
      <c r="O48" s="14" t="n"/>
      <c r="P48" s="14" t="n"/>
      <c r="Q48" s="14" t="n"/>
      <c r="R48" s="14" t="n"/>
      <c r="S48" s="14" t="n"/>
      <c r="T48" s="14" t="n"/>
    </row>
    <row r="49" ht="15.75" customHeight="1" s="177">
      <c r="A49" s="14" t="n"/>
      <c r="B49" s="147" t="n"/>
      <c r="C49" s="132" t="n"/>
      <c r="D49" s="147" t="n"/>
      <c r="E49" s="146" t="n"/>
      <c r="F49" s="147" t="n"/>
      <c r="G49" s="147" t="n"/>
      <c r="H49" s="147" t="n"/>
      <c r="I49" s="147" t="n"/>
      <c r="J49" s="148" t="n"/>
      <c r="K49" s="148" t="n"/>
      <c r="L49" s="149" t="n"/>
      <c r="M49" s="146" t="n"/>
      <c r="N49" s="14" t="n"/>
      <c r="O49" s="14" t="n"/>
      <c r="P49" s="14" t="n"/>
      <c r="Q49" s="14" t="n"/>
      <c r="R49" s="14" t="n"/>
      <c r="S49" s="14" t="n"/>
      <c r="T49" s="14" t="n"/>
    </row>
    <row r="50" ht="15.75" customHeight="1" s="177">
      <c r="A50" s="14" t="n"/>
      <c r="B50" s="147" t="n"/>
      <c r="C50" s="132" t="n"/>
      <c r="D50" s="147" t="n"/>
      <c r="E50" s="146" t="n"/>
      <c r="F50" s="147" t="n"/>
      <c r="G50" s="147" t="n"/>
      <c r="H50" s="147" t="n"/>
      <c r="I50" s="147" t="n"/>
      <c r="J50" s="148" t="n"/>
      <c r="K50" s="148" t="n"/>
      <c r="L50" s="149" t="n"/>
      <c r="M50" s="146" t="n"/>
      <c r="N50" s="14" t="n"/>
      <c r="O50" s="14" t="n"/>
      <c r="P50" s="14" t="n"/>
      <c r="Q50" s="14" t="n"/>
      <c r="R50" s="14" t="n"/>
      <c r="S50" s="14" t="n"/>
      <c r="T50" s="14" t="n"/>
    </row>
    <row r="51" ht="15.75" customHeight="1" s="177">
      <c r="A51" s="14" t="n"/>
      <c r="B51" s="98" t="n"/>
      <c r="C51" s="132" t="n"/>
      <c r="D51" s="147" t="n"/>
      <c r="E51" s="146" t="n"/>
      <c r="F51" s="147" t="n"/>
      <c r="G51" s="147" t="n"/>
      <c r="H51" s="147" t="n"/>
      <c r="I51" s="147" t="n"/>
      <c r="J51" s="148" t="n"/>
      <c r="K51" s="148" t="n"/>
      <c r="L51" s="149" t="n"/>
      <c r="M51" s="146" t="n"/>
      <c r="N51" s="14" t="n"/>
      <c r="O51" s="14" t="n"/>
      <c r="P51" s="14" t="n"/>
      <c r="Q51" s="14" t="n"/>
      <c r="R51" s="14" t="n"/>
      <c r="S51" s="14" t="n"/>
      <c r="T51" s="14" t="n"/>
    </row>
    <row r="52" ht="15.75" customHeight="1" s="177">
      <c r="A52" s="14" t="n"/>
      <c r="B52" s="98" t="n"/>
      <c r="C52" s="132" t="n"/>
      <c r="D52" s="147" t="n"/>
      <c r="E52" s="146" t="n"/>
      <c r="F52" s="147" t="n"/>
      <c r="G52" s="147" t="n"/>
      <c r="H52" s="147" t="n"/>
      <c r="I52" s="147" t="n"/>
      <c r="J52" s="148" t="n"/>
      <c r="K52" s="148" t="n"/>
      <c r="L52" s="149" t="n"/>
      <c r="M52" s="146" t="n"/>
      <c r="N52" s="14" t="n"/>
      <c r="O52" s="14" t="n"/>
      <c r="P52" s="14" t="n"/>
      <c r="Q52" s="14" t="n"/>
      <c r="R52" s="14" t="n"/>
      <c r="S52" s="14" t="n"/>
      <c r="T52" s="14" t="n"/>
    </row>
    <row r="53" ht="15.75" customHeight="1" s="177">
      <c r="A53" s="14" t="n"/>
      <c r="B53" s="98" t="n"/>
      <c r="C53" s="132" t="n"/>
      <c r="D53" s="147" t="n"/>
      <c r="E53" s="146" t="n"/>
      <c r="F53" s="147" t="n"/>
      <c r="G53" s="147" t="n"/>
      <c r="H53" s="147" t="n"/>
      <c r="I53" s="147" t="n"/>
      <c r="J53" s="148" t="n"/>
      <c r="K53" s="148" t="n"/>
      <c r="L53" s="149" t="n"/>
      <c r="M53" s="146" t="n"/>
      <c r="N53" s="14" t="n"/>
      <c r="O53" s="14" t="n"/>
      <c r="P53" s="14" t="n"/>
      <c r="Q53" s="14" t="n"/>
      <c r="R53" s="14" t="n"/>
      <c r="S53" s="14" t="n"/>
      <c r="T53" s="14" t="n"/>
    </row>
    <row r="54" ht="15.75" customHeight="1" s="177">
      <c r="A54" s="14" t="n"/>
      <c r="B54" s="98" t="n"/>
      <c r="C54" s="132" t="n"/>
      <c r="D54" s="147" t="n"/>
      <c r="E54" s="146" t="n"/>
      <c r="F54" s="147" t="n"/>
      <c r="G54" s="147" t="n"/>
      <c r="H54" s="147" t="n"/>
      <c r="I54" s="147" t="n"/>
      <c r="J54" s="147" t="n"/>
      <c r="K54" s="148" t="n"/>
      <c r="L54" s="149" t="n"/>
      <c r="M54" s="146" t="n"/>
      <c r="N54" s="14" t="n"/>
      <c r="O54" s="14" t="n"/>
      <c r="P54" s="14" t="n"/>
      <c r="Q54" s="14" t="n"/>
      <c r="R54" s="14" t="n"/>
      <c r="S54" s="14" t="n"/>
      <c r="T54" s="14" t="n"/>
    </row>
    <row r="55" ht="15.75" customHeight="1" s="177">
      <c r="A55" s="14" t="n"/>
      <c r="B55" s="98" t="n"/>
      <c r="C55" s="132" t="n"/>
      <c r="D55" s="147" t="n"/>
      <c r="E55" s="120" t="n"/>
      <c r="F55" s="106" t="n"/>
      <c r="G55" s="106" t="n"/>
      <c r="H55" s="147" t="n"/>
      <c r="I55" s="147" t="n"/>
      <c r="J55" s="106" t="n"/>
      <c r="K55" s="118" t="n"/>
      <c r="L55" s="109" t="n"/>
      <c r="M55" s="146" t="n"/>
      <c r="N55" s="14" t="n"/>
      <c r="O55" s="14" t="n"/>
      <c r="P55" s="14" t="n"/>
      <c r="Q55" s="14" t="n"/>
      <c r="R55" s="14" t="n"/>
      <c r="S55" s="14" t="n"/>
      <c r="T55" s="14" t="n"/>
    </row>
    <row r="56" ht="15.75" customHeight="1" s="177">
      <c r="A56" s="14" t="n"/>
      <c r="B56" s="98" t="n"/>
      <c r="C56" s="132" t="n"/>
      <c r="D56" s="147" t="n"/>
      <c r="E56" s="146" t="n"/>
      <c r="F56" s="147" t="n"/>
      <c r="G56" s="147" t="n"/>
      <c r="H56" s="147" t="n"/>
      <c r="I56" s="147" t="n"/>
      <c r="J56" s="147" t="n"/>
      <c r="K56" s="148" t="n"/>
      <c r="L56" s="149" t="n"/>
      <c r="M56" s="146" t="n"/>
      <c r="N56" s="14" t="n"/>
      <c r="O56" s="14" t="n"/>
      <c r="P56" s="14" t="n"/>
      <c r="Q56" s="14" t="n"/>
      <c r="R56" s="14" t="n"/>
      <c r="S56" s="14" t="n"/>
      <c r="T56" s="14" t="n"/>
    </row>
    <row r="57" ht="15.75" customHeight="1" s="177">
      <c r="A57" s="14" t="n"/>
      <c r="B57" s="98" t="n"/>
      <c r="C57" s="132" t="n"/>
      <c r="D57" s="147" t="n"/>
      <c r="E57" s="164" t="n"/>
      <c r="F57" s="167" t="n"/>
      <c r="G57" s="167" t="n"/>
      <c r="H57" s="167" t="n"/>
      <c r="I57" s="167" t="n"/>
      <c r="J57" s="168" t="n"/>
      <c r="K57" s="168" t="n"/>
      <c r="L57" s="169" t="n"/>
      <c r="M57" s="170" t="n"/>
      <c r="N57" s="14" t="n"/>
      <c r="O57" s="14" t="n"/>
      <c r="P57" s="14" t="n"/>
      <c r="Q57" s="14" t="n"/>
      <c r="R57" s="14" t="n"/>
      <c r="S57" s="14" t="n"/>
      <c r="T57" s="14" t="n"/>
    </row>
    <row r="58" ht="15.75" customHeight="1" s="177">
      <c r="A58" s="14" t="n"/>
      <c r="B58" s="98" t="n"/>
      <c r="C58" s="132" t="n"/>
      <c r="D58" s="172" t="n"/>
      <c r="E58" s="132" t="n"/>
      <c r="F58" s="172" t="n"/>
      <c r="G58" s="172" t="n"/>
      <c r="H58" s="172" t="n"/>
      <c r="I58" s="172" t="n"/>
      <c r="J58" s="173" t="n"/>
      <c r="K58" s="173" t="n"/>
      <c r="L58" s="174" t="n"/>
      <c r="M58" s="132" t="n"/>
      <c r="N58" s="14" t="n"/>
      <c r="O58" s="14" t="n"/>
      <c r="P58" s="14" t="n"/>
      <c r="Q58" s="14" t="n"/>
      <c r="R58" s="14" t="n"/>
      <c r="S58" s="14" t="n"/>
      <c r="T58" s="14" t="n"/>
    </row>
    <row r="59" ht="15.75" customHeight="1" s="177">
      <c r="A59" s="14" t="n"/>
      <c r="B59" s="147" t="n"/>
      <c r="C59" s="132" t="n"/>
      <c r="D59" s="172" t="n"/>
      <c r="E59" s="132" t="n"/>
      <c r="F59" s="172" t="n"/>
      <c r="G59" s="172" t="n"/>
      <c r="H59" s="172" t="n"/>
      <c r="I59" s="172" t="n"/>
      <c r="J59" s="173" t="n"/>
      <c r="K59" s="173" t="n"/>
      <c r="L59" s="174" t="n"/>
      <c r="M59" s="132" t="n"/>
      <c r="N59" s="14" t="n"/>
      <c r="O59" s="14" t="n"/>
      <c r="P59" s="14" t="n"/>
      <c r="Q59" s="14" t="n"/>
      <c r="R59" s="14" t="n"/>
      <c r="S59" s="14" t="n"/>
      <c r="T59" s="14" t="n"/>
    </row>
    <row r="60" ht="15.75" customHeight="1" s="177">
      <c r="A60" s="14" t="n"/>
      <c r="B60" s="147" t="n"/>
      <c r="C60" s="132" t="n"/>
      <c r="D60" s="172" t="n"/>
      <c r="E60" s="132" t="n"/>
      <c r="F60" s="172" t="n"/>
      <c r="G60" s="172" t="n"/>
      <c r="H60" s="172" t="n"/>
      <c r="I60" s="172" t="n"/>
      <c r="J60" s="173" t="n"/>
      <c r="K60" s="173" t="n"/>
      <c r="L60" s="174" t="n"/>
      <c r="M60" s="132" t="n"/>
      <c r="N60" s="14" t="n"/>
      <c r="O60" s="14" t="n"/>
      <c r="P60" s="14" t="n"/>
      <c r="Q60" s="14" t="n"/>
      <c r="R60" s="14" t="n"/>
      <c r="S60" s="14" t="n"/>
      <c r="T60" s="14" t="n"/>
    </row>
    <row r="61" ht="15.75" customHeight="1" s="177"/>
    <row r="62" ht="15.75" customHeight="1" s="177"/>
    <row r="63" ht="15.75" customHeight="1" s="177"/>
    <row r="64" ht="15.75" customHeight="1" s="177"/>
    <row r="65" ht="15.75" customHeight="1" s="177"/>
    <row r="66" ht="15.75" customHeight="1" s="177"/>
    <row r="67" ht="15.75" customHeight="1" s="177"/>
    <row r="68" ht="15.75" customHeight="1" s="177"/>
    <row r="69" ht="15.75" customHeight="1" s="177"/>
    <row r="70" ht="15.75" customHeight="1" s="177"/>
    <row r="71" ht="15.75" customHeight="1" s="177"/>
    <row r="72" ht="15.75" customHeight="1" s="177"/>
    <row r="73" ht="15.75" customHeight="1" s="177"/>
    <row r="74" ht="15.75" customHeight="1" s="177"/>
    <row r="75" ht="15.75" customHeight="1" s="177"/>
    <row r="76" ht="15.75" customHeight="1" s="177"/>
    <row r="77" ht="15.75" customHeight="1" s="177"/>
    <row r="78" ht="15.75" customHeight="1" s="177"/>
    <row r="79" ht="15.75" customHeight="1" s="177"/>
    <row r="80" ht="15.75" customHeight="1" s="177"/>
    <row r="81" ht="15.75" customHeight="1" s="177"/>
    <row r="82" ht="15.75" customHeight="1" s="177"/>
    <row r="83" ht="15.75" customHeight="1" s="177"/>
    <row r="84" ht="15.75" customHeight="1" s="177"/>
    <row r="85" ht="15.75" customHeight="1" s="177"/>
    <row r="86" ht="15.75" customHeight="1" s="177"/>
    <row r="87" ht="15.75" customHeight="1" s="177"/>
    <row r="88" ht="15.75" customHeight="1" s="177"/>
    <row r="89" ht="15.75" customHeight="1" s="177"/>
    <row r="90" ht="15.75" customHeight="1" s="177"/>
    <row r="91" ht="15.75" customHeight="1" s="177"/>
    <row r="92" ht="15.75" customHeight="1" s="177"/>
    <row r="93" ht="15.75" customHeight="1" s="177"/>
    <row r="94" ht="15.75" customHeight="1" s="177"/>
    <row r="95" ht="15.75" customHeight="1" s="177"/>
    <row r="96" ht="15.75" customHeight="1" s="177"/>
    <row r="97" ht="15.75" customHeight="1" s="177"/>
    <row r="98" ht="15.75" customHeight="1" s="177"/>
    <row r="99" ht="15.75" customHeight="1" s="177"/>
    <row r="100" ht="15.75" customHeight="1" s="177"/>
    <row r="101" ht="15.75" customHeight="1" s="177"/>
    <row r="102" ht="15.75" customHeight="1" s="177"/>
    <row r="103" ht="15.75" customHeight="1" s="177"/>
    <row r="104" ht="15.75" customHeight="1" s="177"/>
    <row r="105" ht="15.75" customHeight="1" s="177"/>
    <row r="106" ht="15.75" customHeight="1" s="177"/>
    <row r="107" ht="15.75" customHeight="1" s="177"/>
    <row r="108" ht="15.75" customHeight="1" s="177"/>
    <row r="109" ht="15.75" customHeight="1" s="177"/>
    <row r="110" ht="15.75" customHeight="1" s="177"/>
    <row r="111" ht="15.75" customHeight="1" s="177"/>
    <row r="112" ht="15.75" customHeight="1" s="177"/>
    <row r="113" ht="15.75" customHeight="1" s="177"/>
    <row r="114" ht="15.75" customHeight="1" s="177"/>
    <row r="115" ht="15.75" customHeight="1" s="177"/>
    <row r="116" ht="15.75" customHeight="1" s="177"/>
    <row r="117" ht="15.75" customHeight="1" s="177"/>
    <row r="118" ht="15.75" customHeight="1" s="177"/>
    <row r="119" ht="15.75" customHeight="1" s="177"/>
    <row r="120" ht="15.75" customHeight="1" s="177"/>
    <row r="121" ht="15.75" customHeight="1" s="177"/>
    <row r="122" ht="15.75" customHeight="1" s="177"/>
    <row r="123" ht="15.75" customHeight="1" s="177"/>
    <row r="124" ht="15.75" customHeight="1" s="177"/>
    <row r="125" ht="15.75" customHeight="1" s="177"/>
    <row r="126" ht="15.75" customHeight="1" s="177"/>
    <row r="127" ht="15.75" customHeight="1" s="177"/>
    <row r="128" ht="15.75" customHeight="1" s="177"/>
    <row r="129" ht="15.75" customHeight="1" s="177"/>
    <row r="130" ht="15.75" customHeight="1" s="177"/>
    <row r="131" ht="15.75" customHeight="1" s="177"/>
    <row r="132" ht="15.75" customHeight="1" s="177"/>
    <row r="133" ht="15.75" customHeight="1" s="177"/>
    <row r="134" ht="15.75" customHeight="1" s="177"/>
    <row r="135" ht="15.75" customHeight="1" s="177"/>
    <row r="136" ht="15.75" customHeight="1" s="177"/>
    <row r="137" ht="15.75" customHeight="1" s="177"/>
    <row r="138" ht="15.75" customHeight="1" s="177"/>
    <row r="139" ht="15.75" customHeight="1" s="177"/>
    <row r="140" ht="15.75" customHeight="1" s="177"/>
    <row r="141" ht="15.75" customHeight="1" s="177"/>
    <row r="142" ht="15.75" customHeight="1" s="177"/>
    <row r="143" ht="15.75" customHeight="1" s="177"/>
    <row r="144" ht="15.75" customHeight="1" s="177"/>
    <row r="145" ht="15.75" customHeight="1" s="177"/>
    <row r="146" ht="15.75" customHeight="1" s="177"/>
    <row r="147" ht="15.75" customHeight="1" s="177"/>
    <row r="148" ht="15.75" customHeight="1" s="177"/>
    <row r="149" ht="15.75" customHeight="1" s="177"/>
    <row r="150" ht="15.75" customHeight="1" s="177"/>
    <row r="151" ht="15.75" customHeight="1" s="177"/>
    <row r="152" ht="15.75" customHeight="1" s="177"/>
    <row r="153" ht="15.75" customHeight="1" s="177"/>
    <row r="154" ht="15.75" customHeight="1" s="177"/>
    <row r="155" ht="15.75" customHeight="1" s="177"/>
    <row r="156" ht="15.75" customHeight="1" s="177"/>
    <row r="157" ht="15.75" customHeight="1" s="177"/>
    <row r="158" ht="15.75" customHeight="1" s="177"/>
    <row r="159" ht="15.75" customHeight="1" s="177"/>
    <row r="160" ht="15.75" customHeight="1" s="177"/>
    <row r="161" ht="15.75" customHeight="1" s="177"/>
    <row r="162" ht="15.75" customHeight="1" s="177"/>
    <row r="163" ht="15.75" customHeight="1" s="177"/>
    <row r="164" ht="15.75" customHeight="1" s="177"/>
    <row r="165" ht="15.75" customHeight="1" s="177"/>
    <row r="166" ht="15.75" customHeight="1" s="177"/>
    <row r="167" ht="15.75" customHeight="1" s="177"/>
    <row r="168" ht="15.75" customHeight="1" s="177"/>
    <row r="169" ht="15.75" customHeight="1" s="177"/>
    <row r="170" ht="15.75" customHeight="1" s="177"/>
    <row r="171" ht="15.75" customHeight="1" s="177"/>
    <row r="172" ht="15.75" customHeight="1" s="177"/>
    <row r="173" ht="15.75" customHeight="1" s="177"/>
    <row r="174" ht="15.75" customHeight="1" s="177"/>
    <row r="175" ht="15.75" customHeight="1" s="177"/>
    <row r="176" ht="15.75" customHeight="1" s="177"/>
    <row r="177" ht="15.75" customHeight="1" s="177"/>
    <row r="178" ht="15.75" customHeight="1" s="177"/>
    <row r="179" ht="15.75" customHeight="1" s="177"/>
    <row r="180" ht="15.75" customHeight="1" s="177"/>
    <row r="181" ht="15.75" customHeight="1" s="177"/>
    <row r="182" ht="15.75" customHeight="1" s="177"/>
    <row r="183" ht="15.75" customHeight="1" s="177"/>
    <row r="184" ht="15.75" customHeight="1" s="177"/>
    <row r="185" ht="15.75" customHeight="1" s="177"/>
    <row r="186" ht="15.75" customHeight="1" s="177"/>
    <row r="187" ht="15.75" customHeight="1" s="177"/>
    <row r="188" ht="15.75" customHeight="1" s="177"/>
    <row r="189" ht="15.75" customHeight="1" s="177"/>
    <row r="190" ht="15.75" customHeight="1" s="177"/>
    <row r="191" ht="15.75" customHeight="1" s="177"/>
    <row r="192" ht="15.75" customHeight="1" s="177"/>
    <row r="193" ht="15.75" customHeight="1" s="177"/>
    <row r="194" ht="15.75" customHeight="1" s="177"/>
    <row r="195" ht="15.75" customHeight="1" s="177"/>
    <row r="196" ht="15.75" customHeight="1" s="177"/>
    <row r="197" ht="15.75" customHeight="1" s="177"/>
    <row r="198" ht="15.75" customHeight="1" s="177"/>
    <row r="199" ht="15.75" customHeight="1" s="177"/>
    <row r="200" ht="15.75" customHeight="1" s="177"/>
    <row r="201" ht="15.75" customHeight="1" s="177"/>
    <row r="202" ht="15.75" customHeight="1" s="177"/>
    <row r="203" ht="15.75" customHeight="1" s="177"/>
    <row r="204" ht="15.75" customHeight="1" s="177"/>
    <row r="205" ht="15.75" customHeight="1" s="177"/>
    <row r="206" ht="15.75" customHeight="1" s="177"/>
    <row r="207" ht="15.75" customHeight="1" s="177"/>
    <row r="208" ht="15.75" customHeight="1" s="177"/>
    <row r="209" ht="15.75" customHeight="1" s="177"/>
    <row r="210" ht="15.75" customHeight="1" s="177"/>
    <row r="211" ht="15.75" customHeight="1" s="177"/>
    <row r="212" ht="15.75" customHeight="1" s="177"/>
    <row r="213" ht="15.75" customHeight="1" s="177"/>
    <row r="214" ht="15.75" customHeight="1" s="177"/>
    <row r="215" ht="15.75" customHeight="1" s="177"/>
    <row r="216" ht="15.75" customHeight="1" s="177"/>
    <row r="217" ht="15.75" customHeight="1" s="177"/>
    <row r="218" ht="15.75" customHeight="1" s="177"/>
    <row r="219" ht="15.75" customHeight="1" s="177"/>
    <row r="220" ht="15.75" customHeight="1" s="177"/>
    <row r="221" ht="15.75" customHeight="1" s="177"/>
    <row r="222" ht="15.75" customHeight="1" s="177"/>
    <row r="223" ht="15.75" customHeight="1" s="177"/>
    <row r="224" ht="15.75" customHeight="1" s="177"/>
    <row r="225" ht="15.75" customHeight="1" s="177"/>
    <row r="226" ht="15.75" customHeight="1" s="177"/>
    <row r="227" ht="15.75" customHeight="1" s="177"/>
    <row r="228" ht="15.75" customHeight="1" s="177"/>
    <row r="229" ht="15.75" customHeight="1" s="177"/>
    <row r="230" ht="15.75" customHeight="1" s="177"/>
    <row r="231" ht="15.75" customHeight="1" s="177"/>
    <row r="232" ht="15.75" customHeight="1" s="177"/>
    <row r="233" ht="15.75" customHeight="1" s="177"/>
    <row r="234" ht="15.75" customHeight="1" s="177"/>
    <row r="235" ht="15.75" customHeight="1" s="177"/>
    <row r="236" ht="15.75" customHeight="1" s="177"/>
    <row r="237" ht="15.75" customHeight="1" s="177"/>
    <row r="238" ht="15.75" customHeight="1" s="177"/>
    <row r="239" ht="15.75" customHeight="1" s="177"/>
    <row r="240" ht="15.75" customHeight="1" s="177"/>
    <row r="241" ht="15.75" customHeight="1" s="177"/>
    <row r="242" ht="15.75" customHeight="1" s="177"/>
    <row r="243" ht="15.75" customHeight="1" s="177"/>
    <row r="244" ht="15.75" customHeight="1" s="177"/>
    <row r="245" ht="15.75" customHeight="1" s="177"/>
    <row r="246" ht="15.75" customHeight="1" s="177"/>
    <row r="247" ht="15.75" customHeight="1" s="177"/>
    <row r="248" ht="15.75" customHeight="1" s="177"/>
    <row r="249" ht="15.75" customHeight="1" s="177"/>
    <row r="250" ht="15.75" customHeight="1" s="177"/>
    <row r="251" ht="15.75" customHeight="1" s="177"/>
    <row r="252" ht="15.75" customHeight="1" s="177"/>
    <row r="253" ht="15.75" customHeight="1" s="177"/>
    <row r="254" ht="15.75" customHeight="1" s="177"/>
    <row r="255" ht="15.75" customHeight="1" s="177"/>
    <row r="256" ht="15.75" customHeight="1" s="177"/>
    <row r="257" ht="15.75" customHeight="1" s="177"/>
    <row r="258" ht="15.75" customHeight="1" s="177"/>
    <row r="259" ht="15.75" customHeight="1" s="177"/>
    <row r="260" ht="15.75" customHeight="1" s="177"/>
    <row r="261" ht="15.75" customHeight="1" s="177"/>
    <row r="262" ht="15.75" customHeight="1" s="177"/>
    <row r="263" ht="15.75" customHeight="1" s="177"/>
    <row r="264" ht="15.75" customHeight="1" s="177"/>
    <row r="265" ht="15.75" customHeight="1" s="177"/>
    <row r="266" ht="15.75" customHeight="1" s="177"/>
    <row r="267" ht="15.75" customHeight="1" s="177"/>
    <row r="268" ht="15.75" customHeight="1" s="177"/>
    <row r="269" ht="15.75" customHeight="1" s="177"/>
    <row r="270" ht="15.75" customHeight="1" s="177"/>
    <row r="271" ht="15.75" customHeight="1" s="177"/>
    <row r="272" ht="15.75" customHeight="1" s="177"/>
    <row r="273" ht="15.75" customHeight="1" s="177"/>
    <row r="274" ht="15.75" customHeight="1" s="177"/>
    <row r="275" ht="15.75" customHeight="1" s="177"/>
    <row r="276" ht="15.75" customHeight="1" s="177"/>
    <row r="277" ht="15.75" customHeight="1" s="177"/>
    <row r="278" ht="15.75" customHeight="1" s="177"/>
    <row r="279" ht="15.75" customHeight="1" s="177"/>
    <row r="280" ht="15.75" customHeight="1" s="177"/>
    <row r="281" ht="15.75" customHeight="1" s="177"/>
    <row r="282" ht="15.75" customHeight="1" s="177"/>
    <row r="283" ht="15.75" customHeight="1" s="177"/>
    <row r="284" ht="15.75" customHeight="1" s="177"/>
    <row r="285" ht="15.75" customHeight="1" s="177"/>
    <row r="286" ht="15.75" customHeight="1" s="177"/>
    <row r="287" ht="15.75" customHeight="1" s="177"/>
    <row r="288" ht="15.75" customHeight="1" s="177"/>
    <row r="289" ht="15.75" customHeight="1" s="177"/>
    <row r="290" ht="15.75" customHeight="1" s="177"/>
    <row r="291" ht="15.75" customHeight="1" s="177"/>
    <row r="292" ht="15.75" customHeight="1" s="177"/>
    <row r="293" ht="15.75" customHeight="1" s="177"/>
    <row r="294" ht="15.75" customHeight="1" s="177"/>
    <row r="295" ht="15.75" customHeight="1" s="177"/>
    <row r="296" ht="15.75" customHeight="1" s="177"/>
    <row r="297" ht="15.75" customHeight="1" s="177"/>
    <row r="298" ht="15.75" customHeight="1" s="177"/>
    <row r="299" ht="15.75" customHeight="1" s="177"/>
    <row r="300" ht="15.75" customHeight="1" s="177"/>
    <row r="301" ht="15.75" customHeight="1" s="177"/>
    <row r="302" ht="15.75" customHeight="1" s="177"/>
    <row r="303" ht="15.75" customHeight="1" s="177"/>
    <row r="304" ht="15.75" customHeight="1" s="177"/>
    <row r="305" ht="15.75" customHeight="1" s="177"/>
    <row r="306" ht="15.75" customHeight="1" s="177"/>
    <row r="307" ht="15.75" customHeight="1" s="177"/>
    <row r="308" ht="15.75" customHeight="1" s="177"/>
    <row r="309" ht="15.75" customHeight="1" s="177"/>
    <row r="310" ht="15.75" customHeight="1" s="177"/>
    <row r="311" ht="15.75" customHeight="1" s="177"/>
    <row r="312" ht="15.75" customHeight="1" s="177"/>
    <row r="313" ht="15.75" customHeight="1" s="177"/>
    <row r="314" ht="15.75" customHeight="1" s="177"/>
    <row r="315" ht="15.75" customHeight="1" s="177"/>
    <row r="316" ht="15.75" customHeight="1" s="177"/>
    <row r="317" ht="15.75" customHeight="1" s="177"/>
    <row r="318" ht="15.75" customHeight="1" s="177"/>
    <row r="319" ht="15.75" customHeight="1" s="177"/>
    <row r="320" ht="15.75" customHeight="1" s="177"/>
    <row r="321" ht="15.75" customHeight="1" s="177"/>
    <row r="322" ht="15.75" customHeight="1" s="177"/>
    <row r="323" ht="15.75" customHeight="1" s="177"/>
    <row r="324" ht="15.75" customHeight="1" s="177"/>
    <row r="325" ht="15.75" customHeight="1" s="177"/>
    <row r="326" ht="15.75" customHeight="1" s="177"/>
    <row r="327" ht="15.75" customHeight="1" s="177"/>
    <row r="328" ht="15.75" customHeight="1" s="177"/>
    <row r="329" ht="15.75" customHeight="1" s="177"/>
    <row r="330" ht="15.75" customHeight="1" s="177"/>
    <row r="331" ht="15.75" customHeight="1" s="177"/>
    <row r="332" ht="15.75" customHeight="1" s="177"/>
    <row r="333" ht="15.75" customHeight="1" s="177"/>
    <row r="334" ht="15.75" customHeight="1" s="177"/>
    <row r="335" ht="15.75" customHeight="1" s="177"/>
    <row r="336" ht="15.75" customHeight="1" s="177"/>
    <row r="337" ht="15.75" customHeight="1" s="177"/>
    <row r="338" ht="15.75" customHeight="1" s="177"/>
    <row r="339" ht="15.75" customHeight="1" s="177"/>
    <row r="340" ht="15.75" customHeight="1" s="177"/>
    <row r="341" ht="15.75" customHeight="1" s="177"/>
    <row r="342" ht="15.75" customHeight="1" s="177"/>
    <row r="343" ht="15.75" customHeight="1" s="177"/>
    <row r="344" ht="15.75" customHeight="1" s="177"/>
    <row r="345" ht="15.75" customHeight="1" s="177"/>
    <row r="346" ht="15.75" customHeight="1" s="177"/>
    <row r="347" ht="15.75" customHeight="1" s="177"/>
    <row r="348" ht="15.75" customHeight="1" s="177"/>
    <row r="349" ht="15.75" customHeight="1" s="177"/>
    <row r="350" ht="15.75" customHeight="1" s="177"/>
    <row r="351" ht="15.75" customHeight="1" s="177"/>
    <row r="352" ht="15.75" customHeight="1" s="177"/>
    <row r="353" ht="15.75" customHeight="1" s="177"/>
    <row r="354" ht="15.75" customHeight="1" s="177"/>
    <row r="355" ht="15.75" customHeight="1" s="177"/>
    <row r="356" ht="15.75" customHeight="1" s="177"/>
    <row r="357" ht="15.75" customHeight="1" s="177"/>
    <row r="358" ht="15.75" customHeight="1" s="177"/>
    <row r="359" ht="15.75" customHeight="1" s="177"/>
    <row r="360" ht="15.75" customHeight="1" s="177"/>
    <row r="361" ht="15.75" customHeight="1" s="177"/>
    <row r="362" ht="15.75" customHeight="1" s="177"/>
    <row r="363" ht="15.75" customHeight="1" s="177"/>
    <row r="364" ht="15.75" customHeight="1" s="177"/>
    <row r="365" ht="15.75" customHeight="1" s="177"/>
    <row r="366" ht="15.75" customHeight="1" s="177"/>
    <row r="367" ht="15.75" customHeight="1" s="177"/>
    <row r="368" ht="15.75" customHeight="1" s="177"/>
    <row r="369" ht="15.75" customHeight="1" s="177"/>
    <row r="370" ht="15.75" customHeight="1" s="177"/>
    <row r="371" ht="15.75" customHeight="1" s="177"/>
    <row r="372" ht="15.75" customHeight="1" s="177"/>
    <row r="373" ht="15.75" customHeight="1" s="177"/>
    <row r="374" ht="15.75" customHeight="1" s="177"/>
    <row r="375" ht="15.75" customHeight="1" s="177"/>
    <row r="376" ht="15.75" customHeight="1" s="177"/>
    <row r="377" ht="15.75" customHeight="1" s="177"/>
    <row r="378" ht="15.75" customHeight="1" s="177"/>
    <row r="379" ht="15.75" customHeight="1" s="177"/>
    <row r="380" ht="15.75" customHeight="1" s="177"/>
    <row r="381" ht="15.75" customHeight="1" s="177"/>
    <row r="382" ht="15.75" customHeight="1" s="177"/>
    <row r="383" ht="15.75" customHeight="1" s="177"/>
    <row r="384" ht="15.75" customHeight="1" s="177"/>
    <row r="385" ht="15.75" customHeight="1" s="177"/>
    <row r="386" ht="15.75" customHeight="1" s="177"/>
    <row r="387" ht="15.75" customHeight="1" s="177"/>
    <row r="388" ht="15.75" customHeight="1" s="177"/>
    <row r="389" ht="15.75" customHeight="1" s="177"/>
    <row r="390" ht="15.75" customHeight="1" s="177"/>
    <row r="391" ht="15.75" customHeight="1" s="177"/>
    <row r="392" ht="15.75" customHeight="1" s="177"/>
    <row r="393" ht="15.75" customHeight="1" s="177"/>
    <row r="394" ht="15.75" customHeight="1" s="177"/>
    <row r="395" ht="15.75" customHeight="1" s="177"/>
    <row r="396" ht="15.75" customHeight="1" s="177"/>
    <row r="397" ht="15.75" customHeight="1" s="177"/>
    <row r="398" ht="15.75" customHeight="1" s="177"/>
    <row r="399" ht="15.75" customHeight="1" s="177"/>
    <row r="400" ht="15.75" customHeight="1" s="177"/>
    <row r="401" ht="15.75" customHeight="1" s="177"/>
    <row r="402" ht="15.75" customHeight="1" s="177"/>
    <row r="403" ht="15.75" customHeight="1" s="177"/>
    <row r="404" ht="15.75" customHeight="1" s="177"/>
    <row r="405" ht="15.75" customHeight="1" s="177"/>
    <row r="406" ht="15.75" customHeight="1" s="177"/>
    <row r="407" ht="15.75" customHeight="1" s="177"/>
    <row r="408" ht="15.75" customHeight="1" s="177"/>
    <row r="409" ht="15.75" customHeight="1" s="177"/>
    <row r="410" ht="15.75" customHeight="1" s="177"/>
    <row r="411" ht="15.75" customHeight="1" s="177"/>
    <row r="412" ht="15.75" customHeight="1" s="177"/>
    <row r="413" ht="15.75" customHeight="1" s="177"/>
    <row r="414" ht="15.75" customHeight="1" s="177"/>
    <row r="415" ht="15.75" customHeight="1" s="177"/>
    <row r="416" ht="15.75" customHeight="1" s="177"/>
    <row r="417" ht="15.75" customHeight="1" s="177"/>
    <row r="418" ht="15.75" customHeight="1" s="177"/>
    <row r="419" ht="15.75" customHeight="1" s="177"/>
    <row r="420" ht="15.75" customHeight="1" s="177"/>
    <row r="421" ht="15.75" customHeight="1" s="177"/>
    <row r="422" ht="15.75" customHeight="1" s="177"/>
    <row r="423" ht="15.75" customHeight="1" s="177"/>
    <row r="424" ht="15.75" customHeight="1" s="177"/>
    <row r="425" ht="15.75" customHeight="1" s="177"/>
    <row r="426" ht="15.75" customHeight="1" s="177"/>
    <row r="427" ht="15.75" customHeight="1" s="177"/>
    <row r="428" ht="15.75" customHeight="1" s="177"/>
    <row r="429" ht="15.75" customHeight="1" s="177"/>
    <row r="430" ht="15.75" customHeight="1" s="177"/>
    <row r="431" ht="15.75" customHeight="1" s="177"/>
    <row r="432" ht="15.75" customHeight="1" s="177"/>
    <row r="433" ht="15.75" customHeight="1" s="177"/>
    <row r="434" ht="15.75" customHeight="1" s="177"/>
    <row r="435" ht="15.75" customHeight="1" s="177"/>
    <row r="436" ht="15.75" customHeight="1" s="177"/>
    <row r="437" ht="15.75" customHeight="1" s="177"/>
    <row r="438" ht="15.75" customHeight="1" s="177"/>
    <row r="439" ht="15.75" customHeight="1" s="177"/>
    <row r="440" ht="15.75" customHeight="1" s="177"/>
    <row r="441" ht="15.75" customHeight="1" s="177"/>
    <row r="442" ht="15.75" customHeight="1" s="177"/>
    <row r="443" ht="15.75" customHeight="1" s="177"/>
    <row r="444" ht="15.75" customHeight="1" s="177"/>
    <row r="445" ht="15.75" customHeight="1" s="177"/>
    <row r="446" ht="15.75" customHeight="1" s="177"/>
    <row r="447" ht="15.75" customHeight="1" s="177"/>
    <row r="448" ht="15.75" customHeight="1" s="177"/>
    <row r="449" ht="15.75" customHeight="1" s="177"/>
    <row r="450" ht="15.75" customHeight="1" s="177"/>
    <row r="451" ht="15.75" customHeight="1" s="177"/>
    <row r="452" ht="15.75" customHeight="1" s="177"/>
    <row r="453" ht="15.75" customHeight="1" s="177"/>
    <row r="454" ht="15.75" customHeight="1" s="177"/>
    <row r="455" ht="15.75" customHeight="1" s="177"/>
    <row r="456" ht="15.75" customHeight="1" s="177"/>
    <row r="457" ht="15.75" customHeight="1" s="177"/>
    <row r="458" ht="15.75" customHeight="1" s="177"/>
    <row r="459" ht="15.75" customHeight="1" s="177"/>
    <row r="460" ht="15.75" customHeight="1" s="177"/>
    <row r="461" ht="15.75" customHeight="1" s="177"/>
    <row r="462" ht="15.75" customHeight="1" s="177"/>
    <row r="463" ht="15.75" customHeight="1" s="177"/>
    <row r="464" ht="15.75" customHeight="1" s="177"/>
    <row r="465" ht="15.75" customHeight="1" s="177"/>
    <row r="466" ht="15.75" customHeight="1" s="177"/>
    <row r="467" ht="15.75" customHeight="1" s="177"/>
    <row r="468" ht="15.75" customHeight="1" s="177"/>
    <row r="469" ht="15.75" customHeight="1" s="177"/>
    <row r="470" ht="15.75" customHeight="1" s="177"/>
    <row r="471" ht="15.75" customHeight="1" s="177"/>
    <row r="472" ht="15.75" customHeight="1" s="177"/>
    <row r="473" ht="15.75" customHeight="1" s="177"/>
    <row r="474" ht="15.75" customHeight="1" s="177"/>
    <row r="475" ht="15.75" customHeight="1" s="177"/>
    <row r="476" ht="15.75" customHeight="1" s="177"/>
    <row r="477" ht="15.75" customHeight="1" s="177"/>
    <row r="478" ht="15.75" customHeight="1" s="177"/>
    <row r="479" ht="15.75" customHeight="1" s="177"/>
    <row r="480" ht="15.75" customHeight="1" s="177"/>
    <row r="481" ht="15.75" customHeight="1" s="177"/>
    <row r="482" ht="15.75" customHeight="1" s="177"/>
    <row r="483" ht="15.75" customHeight="1" s="177"/>
    <row r="484" ht="15.75" customHeight="1" s="177"/>
    <row r="485" ht="15.75" customHeight="1" s="177"/>
    <row r="486" ht="15.75" customHeight="1" s="177"/>
    <row r="487" ht="15.75" customHeight="1" s="177"/>
    <row r="488" ht="15.75" customHeight="1" s="177"/>
    <row r="489" ht="15.75" customHeight="1" s="177"/>
    <row r="490" ht="15.75" customHeight="1" s="177"/>
    <row r="491" ht="15.75" customHeight="1" s="177"/>
    <row r="492" ht="15.75" customHeight="1" s="177"/>
    <row r="493" ht="15.75" customHeight="1" s="177"/>
    <row r="494" ht="15.75" customHeight="1" s="177"/>
    <row r="495" ht="15.75" customHeight="1" s="177"/>
    <row r="496" ht="15.75" customHeight="1" s="177"/>
    <row r="497" ht="15.75" customHeight="1" s="177"/>
    <row r="498" ht="15.75" customHeight="1" s="177"/>
    <row r="499" ht="15.75" customHeight="1" s="177"/>
    <row r="500" ht="15.75" customHeight="1" s="177"/>
    <row r="501" ht="15.75" customHeight="1" s="177"/>
    <row r="502" ht="15.75" customHeight="1" s="177"/>
    <row r="503" ht="15.75" customHeight="1" s="177"/>
    <row r="504" ht="15.75" customHeight="1" s="177"/>
    <row r="505" ht="15.75" customHeight="1" s="177"/>
    <row r="506" ht="15.75" customHeight="1" s="177"/>
    <row r="507" ht="15.75" customHeight="1" s="177"/>
    <row r="508" ht="15.75" customHeight="1" s="177"/>
    <row r="509" ht="15.75" customHeight="1" s="177"/>
    <row r="510" ht="15.75" customHeight="1" s="177"/>
    <row r="511" ht="15.75" customHeight="1" s="177"/>
    <row r="512" ht="15.75" customHeight="1" s="177"/>
    <row r="513" ht="15.75" customHeight="1" s="177"/>
    <row r="514" ht="15.75" customHeight="1" s="177"/>
    <row r="515" ht="15.75" customHeight="1" s="177"/>
    <row r="516" ht="15.75" customHeight="1" s="177"/>
    <row r="517" ht="15.75" customHeight="1" s="177"/>
    <row r="518" ht="15.75" customHeight="1" s="177"/>
    <row r="519" ht="15.75" customHeight="1" s="177"/>
    <row r="520" ht="15.75" customHeight="1" s="177"/>
    <row r="521" ht="15.75" customHeight="1" s="177"/>
    <row r="522" ht="15.75" customHeight="1" s="177"/>
    <row r="523" ht="15.75" customHeight="1" s="177"/>
    <row r="524" ht="15.75" customHeight="1" s="177"/>
    <row r="525" ht="15.75" customHeight="1" s="177"/>
    <row r="526" ht="15.75" customHeight="1" s="177"/>
    <row r="527" ht="15.75" customHeight="1" s="177"/>
    <row r="528" ht="15.75" customHeight="1" s="177"/>
    <row r="529" ht="15.75" customHeight="1" s="177"/>
    <row r="530" ht="15.75" customHeight="1" s="177"/>
    <row r="531" ht="15.75" customHeight="1" s="177"/>
    <row r="532" ht="15.75" customHeight="1" s="177"/>
    <row r="533" ht="15.75" customHeight="1" s="177"/>
    <row r="534" ht="15.75" customHeight="1" s="177"/>
    <row r="535" ht="15.75" customHeight="1" s="177"/>
    <row r="536" ht="15.75" customHeight="1" s="177"/>
    <row r="537" ht="15.75" customHeight="1" s="177"/>
    <row r="538" ht="15.75" customHeight="1" s="177"/>
    <row r="539" ht="15.75" customHeight="1" s="177"/>
    <row r="540" ht="15.75" customHeight="1" s="177"/>
    <row r="541" ht="15.75" customHeight="1" s="177"/>
    <row r="542" ht="15.75" customHeight="1" s="177"/>
    <row r="543" ht="15.75" customHeight="1" s="177"/>
    <row r="544" ht="15.75" customHeight="1" s="177"/>
    <row r="545" ht="15.75" customHeight="1" s="177"/>
    <row r="546" ht="15.75" customHeight="1" s="177"/>
    <row r="547" ht="15.75" customHeight="1" s="177"/>
    <row r="548" ht="15.75" customHeight="1" s="177"/>
    <row r="549" ht="15.75" customHeight="1" s="177"/>
    <row r="550" ht="15.75" customHeight="1" s="177"/>
    <row r="551" ht="15.75" customHeight="1" s="177"/>
    <row r="552" ht="15.75" customHeight="1" s="177"/>
    <row r="553" ht="15.75" customHeight="1" s="177"/>
    <row r="554" ht="15.75" customHeight="1" s="177"/>
    <row r="555" ht="15.75" customHeight="1" s="177"/>
    <row r="556" ht="15.75" customHeight="1" s="177"/>
    <row r="557" ht="15.75" customHeight="1" s="177"/>
    <row r="558" ht="15.75" customHeight="1" s="177"/>
    <row r="559" ht="15.75" customHeight="1" s="177"/>
    <row r="560" ht="15.75" customHeight="1" s="177"/>
    <row r="561" ht="15.75" customHeight="1" s="177"/>
    <row r="562" ht="15.75" customHeight="1" s="177"/>
    <row r="563" ht="15.75" customHeight="1" s="177"/>
    <row r="564" ht="15.75" customHeight="1" s="177"/>
    <row r="565" ht="15.75" customHeight="1" s="177"/>
    <row r="566" ht="15.75" customHeight="1" s="177"/>
    <row r="567" ht="15.75" customHeight="1" s="177"/>
    <row r="568" ht="15.75" customHeight="1" s="177"/>
    <row r="569" ht="15.75" customHeight="1" s="177"/>
    <row r="570" ht="15.75" customHeight="1" s="177"/>
    <row r="571" ht="15.75" customHeight="1" s="177"/>
    <row r="572" ht="15.75" customHeight="1" s="177"/>
    <row r="573" ht="15.75" customHeight="1" s="177"/>
    <row r="574" ht="15.75" customHeight="1" s="177"/>
    <row r="575" ht="15.75" customHeight="1" s="177"/>
    <row r="576" ht="15.75" customHeight="1" s="177"/>
    <row r="577" ht="15.75" customHeight="1" s="177"/>
    <row r="578" ht="15.75" customHeight="1" s="177"/>
    <row r="579" ht="15.75" customHeight="1" s="177"/>
    <row r="580" ht="15.75" customHeight="1" s="177"/>
    <row r="581" ht="15.75" customHeight="1" s="177"/>
    <row r="582" ht="15.75" customHeight="1" s="177"/>
    <row r="583" ht="15.75" customHeight="1" s="177"/>
    <row r="584" ht="15.75" customHeight="1" s="177"/>
    <row r="585" ht="15.75" customHeight="1" s="177"/>
    <row r="586" ht="15.75" customHeight="1" s="177"/>
    <row r="587" ht="15.75" customHeight="1" s="177"/>
    <row r="588" ht="15.75" customHeight="1" s="177"/>
    <row r="589" ht="15.75" customHeight="1" s="177"/>
    <row r="590" ht="15.75" customHeight="1" s="177"/>
    <row r="591" ht="15.75" customHeight="1" s="177"/>
    <row r="592" ht="15.75" customHeight="1" s="177"/>
    <row r="593" ht="15.75" customHeight="1" s="177"/>
    <row r="594" ht="15.75" customHeight="1" s="177"/>
    <row r="595" ht="15.75" customHeight="1" s="177"/>
    <row r="596" ht="15.75" customHeight="1" s="177"/>
    <row r="597" ht="15.75" customHeight="1" s="177"/>
    <row r="598" ht="15.75" customHeight="1" s="177"/>
    <row r="599" ht="15.75" customHeight="1" s="177"/>
    <row r="600" ht="15.75" customHeight="1" s="177"/>
    <row r="601" ht="15.75" customHeight="1" s="177"/>
    <row r="602" ht="15.75" customHeight="1" s="177"/>
    <row r="603" ht="15.75" customHeight="1" s="177"/>
    <row r="604" ht="15.75" customHeight="1" s="177"/>
    <row r="605" ht="15.75" customHeight="1" s="177"/>
    <row r="606" ht="15.75" customHeight="1" s="177"/>
    <row r="607" ht="15.75" customHeight="1" s="177"/>
    <row r="608" ht="15.75" customHeight="1" s="177"/>
    <row r="609" ht="15.75" customHeight="1" s="177"/>
    <row r="610" ht="15.75" customHeight="1" s="177"/>
    <row r="611" ht="15.75" customHeight="1" s="177"/>
    <row r="612" ht="15.75" customHeight="1" s="177"/>
    <row r="613" ht="15.75" customHeight="1" s="177"/>
    <row r="614" ht="15.75" customHeight="1" s="177"/>
    <row r="615" ht="15.75" customHeight="1" s="177"/>
    <row r="616" ht="15.75" customHeight="1" s="177"/>
    <row r="617" ht="15.75" customHeight="1" s="177"/>
    <row r="618" ht="15.75" customHeight="1" s="177"/>
    <row r="619" ht="15.75" customHeight="1" s="177"/>
    <row r="620" ht="15.75" customHeight="1" s="177"/>
    <row r="621" ht="15.75" customHeight="1" s="177"/>
    <row r="622" ht="15.75" customHeight="1" s="177"/>
    <row r="623" ht="15.75" customHeight="1" s="177"/>
    <row r="624" ht="15.75" customHeight="1" s="177"/>
    <row r="625" ht="15.75" customHeight="1" s="177"/>
    <row r="626" ht="15.75" customHeight="1" s="177"/>
    <row r="627" ht="15.75" customHeight="1" s="177"/>
    <row r="628" ht="15.75" customHeight="1" s="177"/>
    <row r="629" ht="15.75" customHeight="1" s="177"/>
    <row r="630" ht="15.75" customHeight="1" s="177"/>
    <row r="631" ht="15.75" customHeight="1" s="177"/>
    <row r="632" ht="15.75" customHeight="1" s="177"/>
    <row r="633" ht="15.75" customHeight="1" s="177"/>
    <row r="634" ht="15.75" customHeight="1" s="177"/>
    <row r="635" ht="15.75" customHeight="1" s="177"/>
    <row r="636" ht="15.75" customHeight="1" s="177"/>
    <row r="637" ht="15.75" customHeight="1" s="177"/>
    <row r="638" ht="15.75" customHeight="1" s="177"/>
    <row r="639" ht="15.75" customHeight="1" s="177"/>
    <row r="640" ht="15.75" customHeight="1" s="177"/>
    <row r="641" ht="15.75" customHeight="1" s="177"/>
    <row r="642" ht="15.75" customHeight="1" s="177"/>
    <row r="643" ht="15.75" customHeight="1" s="177"/>
    <row r="644" ht="15.75" customHeight="1" s="177"/>
    <row r="645" ht="15.75" customHeight="1" s="177"/>
    <row r="646" ht="15.75" customHeight="1" s="177"/>
    <row r="647" ht="15.75" customHeight="1" s="177"/>
    <row r="648" ht="15.75" customHeight="1" s="177"/>
    <row r="649" ht="15.75" customHeight="1" s="177"/>
    <row r="650" ht="15.75" customHeight="1" s="177"/>
    <row r="651" ht="15.75" customHeight="1" s="177"/>
    <row r="652" ht="15.75" customHeight="1" s="177"/>
    <row r="653" ht="15.75" customHeight="1" s="177"/>
    <row r="654" ht="15.75" customHeight="1" s="177"/>
    <row r="655" ht="15.75" customHeight="1" s="177"/>
    <row r="656" ht="15.75" customHeight="1" s="177"/>
    <row r="657" ht="15.75" customHeight="1" s="177"/>
    <row r="658" ht="15.75" customHeight="1" s="177"/>
    <row r="659" ht="15.75" customHeight="1" s="177"/>
    <row r="660" ht="15.75" customHeight="1" s="177"/>
    <row r="661" ht="15.75" customHeight="1" s="177"/>
    <row r="662" ht="15.75" customHeight="1" s="177"/>
    <row r="663" ht="15.75" customHeight="1" s="177"/>
    <row r="664" ht="15.75" customHeight="1" s="177"/>
    <row r="665" ht="15.75" customHeight="1" s="177"/>
    <row r="666" ht="15.75" customHeight="1" s="177"/>
    <row r="667" ht="15.75" customHeight="1" s="177"/>
    <row r="668" ht="15.75" customHeight="1" s="177"/>
    <row r="669" ht="15.75" customHeight="1" s="177"/>
    <row r="670" ht="15.75" customHeight="1" s="177"/>
    <row r="671" ht="15.75" customHeight="1" s="177"/>
    <row r="672" ht="15.75" customHeight="1" s="177"/>
    <row r="673" ht="15.75" customHeight="1" s="177"/>
    <row r="674" ht="15.75" customHeight="1" s="177"/>
    <row r="675" ht="15.75" customHeight="1" s="177"/>
    <row r="676" ht="15.75" customHeight="1" s="177"/>
    <row r="677" ht="15.75" customHeight="1" s="177"/>
    <row r="678" ht="15.75" customHeight="1" s="177"/>
    <row r="679" ht="15.75" customHeight="1" s="177"/>
    <row r="680" ht="15.75" customHeight="1" s="177"/>
    <row r="681" ht="15.75" customHeight="1" s="177"/>
    <row r="682" ht="15.75" customHeight="1" s="177"/>
    <row r="683" ht="15.75" customHeight="1" s="177"/>
    <row r="684" ht="15.75" customHeight="1" s="177"/>
    <row r="685" ht="15.75" customHeight="1" s="177"/>
    <row r="686" ht="15.75" customHeight="1" s="177"/>
    <row r="687" ht="15.75" customHeight="1" s="177"/>
    <row r="688" ht="15.75" customHeight="1" s="177"/>
    <row r="689" ht="15.75" customHeight="1" s="177"/>
    <row r="690" ht="15.75" customHeight="1" s="177"/>
    <row r="691" ht="15.75" customHeight="1" s="177"/>
    <row r="692" ht="15.75" customHeight="1" s="177"/>
    <row r="693" ht="15.75" customHeight="1" s="177"/>
    <row r="694" ht="15.75" customHeight="1" s="177"/>
    <row r="695" ht="15.75" customHeight="1" s="177"/>
    <row r="696" ht="15.75" customHeight="1" s="177"/>
    <row r="697" ht="15.75" customHeight="1" s="177"/>
    <row r="698" ht="15.75" customHeight="1" s="177"/>
    <row r="699" ht="15.75" customHeight="1" s="177"/>
    <row r="700" ht="15.75" customHeight="1" s="177"/>
    <row r="701" ht="15.75" customHeight="1" s="177"/>
    <row r="702" ht="15.75" customHeight="1" s="177"/>
    <row r="703" ht="15.75" customHeight="1" s="177"/>
    <row r="704" ht="15.75" customHeight="1" s="177"/>
    <row r="705" ht="15.75" customHeight="1" s="177"/>
    <row r="706" ht="15.75" customHeight="1" s="177"/>
    <row r="707" ht="15.75" customHeight="1" s="177"/>
    <row r="708" ht="15.75" customHeight="1" s="177"/>
    <row r="709" ht="15.75" customHeight="1" s="177"/>
    <row r="710" ht="15.75" customHeight="1" s="177"/>
    <row r="711" ht="15.75" customHeight="1" s="177"/>
    <row r="712" ht="15.75" customHeight="1" s="177"/>
    <row r="713" ht="15.75" customHeight="1" s="177"/>
    <row r="714" ht="15.75" customHeight="1" s="177"/>
    <row r="715" ht="15.75" customHeight="1" s="177"/>
    <row r="716" ht="15.75" customHeight="1" s="177"/>
    <row r="717" ht="15.75" customHeight="1" s="177"/>
    <row r="718" ht="15.75" customHeight="1" s="177"/>
    <row r="719" ht="15.75" customHeight="1" s="177"/>
    <row r="720" ht="15.75" customHeight="1" s="177"/>
    <row r="721" ht="15.75" customHeight="1" s="177"/>
    <row r="722" ht="15.75" customHeight="1" s="177"/>
    <row r="723" ht="15.75" customHeight="1" s="177"/>
    <row r="724" ht="15.75" customHeight="1" s="177"/>
    <row r="725" ht="15.75" customHeight="1" s="177"/>
    <row r="726" ht="15.75" customHeight="1" s="177"/>
    <row r="727" ht="15.75" customHeight="1" s="177"/>
    <row r="728" ht="15.75" customHeight="1" s="177"/>
    <row r="729" ht="15.75" customHeight="1" s="177"/>
    <row r="730" ht="15.75" customHeight="1" s="177"/>
    <row r="731" ht="15.75" customHeight="1" s="177"/>
    <row r="732" ht="15.75" customHeight="1" s="177"/>
    <row r="733" ht="15.75" customHeight="1" s="177"/>
    <row r="734" ht="15.75" customHeight="1" s="177"/>
    <row r="735" ht="15.75" customHeight="1" s="177"/>
    <row r="736" ht="15.75" customHeight="1" s="177"/>
    <row r="737" ht="15.75" customHeight="1" s="177"/>
    <row r="738" ht="15.75" customHeight="1" s="177"/>
    <row r="739" ht="15.75" customHeight="1" s="177"/>
    <row r="740" ht="15.75" customHeight="1" s="177"/>
    <row r="741" ht="15.75" customHeight="1" s="177"/>
    <row r="742" ht="15.75" customHeight="1" s="177"/>
    <row r="743" ht="15.75" customHeight="1" s="177"/>
    <row r="744" ht="15.75" customHeight="1" s="177"/>
    <row r="745" ht="15.75" customHeight="1" s="177"/>
    <row r="746" ht="15.75" customHeight="1" s="177"/>
    <row r="747" ht="15.75" customHeight="1" s="177"/>
    <row r="748" ht="15.75" customHeight="1" s="177"/>
    <row r="749" ht="15.75" customHeight="1" s="177"/>
    <row r="750" ht="15.75" customHeight="1" s="177"/>
    <row r="751" ht="15.75" customHeight="1" s="177"/>
    <row r="752" ht="15.75" customHeight="1" s="177"/>
    <row r="753" ht="15.75" customHeight="1" s="177"/>
    <row r="754" ht="15.75" customHeight="1" s="177"/>
    <row r="755" ht="15.75" customHeight="1" s="177"/>
    <row r="756" ht="15.75" customHeight="1" s="177"/>
    <row r="757" ht="15.75" customHeight="1" s="177"/>
    <row r="758" ht="15.75" customHeight="1" s="177"/>
    <row r="759" ht="15.75" customHeight="1" s="177"/>
    <row r="760" ht="15.75" customHeight="1" s="177"/>
    <row r="761" ht="15.75" customHeight="1" s="177"/>
    <row r="762" ht="15.75" customHeight="1" s="177"/>
    <row r="763" ht="15.75" customHeight="1" s="177"/>
    <row r="764" ht="15.75" customHeight="1" s="177"/>
    <row r="765" ht="15.75" customHeight="1" s="177"/>
    <row r="766" ht="15.75" customHeight="1" s="177"/>
    <row r="767" ht="15.75" customHeight="1" s="177"/>
    <row r="768" ht="15.75" customHeight="1" s="177"/>
    <row r="769" ht="15.75" customHeight="1" s="177"/>
    <row r="770" ht="15.75" customHeight="1" s="177"/>
    <row r="771" ht="15.75" customHeight="1" s="177"/>
    <row r="772" ht="15.75" customHeight="1" s="177"/>
    <row r="773" ht="15.75" customHeight="1" s="177"/>
    <row r="774" ht="15.75" customHeight="1" s="177"/>
    <row r="775" ht="15.75" customHeight="1" s="177"/>
    <row r="776" ht="15.75" customHeight="1" s="177"/>
    <row r="777" ht="15.75" customHeight="1" s="177"/>
    <row r="778" ht="15.75" customHeight="1" s="177"/>
    <row r="779" ht="15.75" customHeight="1" s="177"/>
    <row r="780" ht="15.75" customHeight="1" s="177"/>
    <row r="781" ht="15.75" customHeight="1" s="177"/>
    <row r="782" ht="15.75" customHeight="1" s="177"/>
    <row r="783" ht="15.75" customHeight="1" s="177"/>
    <row r="784" ht="15.75" customHeight="1" s="177"/>
    <row r="785" ht="15.75" customHeight="1" s="177"/>
    <row r="786" ht="15.75" customHeight="1" s="177"/>
    <row r="787" ht="15.75" customHeight="1" s="177"/>
    <row r="788" ht="15.75" customHeight="1" s="177"/>
    <row r="789" ht="15.75" customHeight="1" s="177"/>
    <row r="790" ht="15.75" customHeight="1" s="177"/>
    <row r="791" ht="15.75" customHeight="1" s="177"/>
    <row r="792" ht="15.75" customHeight="1" s="177"/>
    <row r="793" ht="15.75" customHeight="1" s="177"/>
    <row r="794" ht="15.75" customHeight="1" s="177"/>
    <row r="795" ht="15.75" customHeight="1" s="177"/>
    <row r="796" ht="15.75" customHeight="1" s="177"/>
    <row r="797" ht="15.75" customHeight="1" s="177"/>
    <row r="798" ht="15.75" customHeight="1" s="177"/>
    <row r="799" ht="15.75" customHeight="1" s="177"/>
    <row r="800" ht="15.75" customHeight="1" s="177"/>
    <row r="801" ht="15.75" customHeight="1" s="177"/>
    <row r="802" ht="15.75" customHeight="1" s="177"/>
    <row r="803" ht="15.75" customHeight="1" s="177"/>
    <row r="804" ht="15.75" customHeight="1" s="177"/>
    <row r="805" ht="15.75" customHeight="1" s="177"/>
    <row r="806" ht="15.75" customHeight="1" s="177"/>
    <row r="807" ht="15.75" customHeight="1" s="177"/>
    <row r="808" ht="15.75" customHeight="1" s="177"/>
    <row r="809" ht="15.75" customHeight="1" s="177"/>
    <row r="810" ht="15.75" customHeight="1" s="177"/>
    <row r="811" ht="15.75" customHeight="1" s="177"/>
    <row r="812" ht="15.75" customHeight="1" s="177"/>
    <row r="813" ht="15.75" customHeight="1" s="177"/>
    <row r="814" ht="15.75" customHeight="1" s="177"/>
    <row r="815" ht="15.75" customHeight="1" s="177"/>
    <row r="816" ht="15.75" customHeight="1" s="177"/>
    <row r="817" ht="15.75" customHeight="1" s="177"/>
    <row r="818" ht="15.75" customHeight="1" s="177"/>
    <row r="819" ht="15.75" customHeight="1" s="177"/>
    <row r="820" ht="15.75" customHeight="1" s="177"/>
    <row r="821" ht="15.75" customHeight="1" s="177"/>
    <row r="822" ht="15.75" customHeight="1" s="177"/>
    <row r="823" ht="15.75" customHeight="1" s="177"/>
    <row r="824" ht="15.75" customHeight="1" s="177"/>
    <row r="825" ht="15.75" customHeight="1" s="177"/>
    <row r="826" ht="15.75" customHeight="1" s="177"/>
    <row r="827" ht="15.75" customHeight="1" s="177"/>
    <row r="828" ht="15.75" customHeight="1" s="177"/>
    <row r="829" ht="15.75" customHeight="1" s="177"/>
    <row r="830" ht="15.75" customHeight="1" s="177"/>
    <row r="831" ht="15.75" customHeight="1" s="177"/>
    <row r="832" ht="15.75" customHeight="1" s="177"/>
    <row r="833" ht="15.75" customHeight="1" s="177"/>
    <row r="834" ht="15.75" customHeight="1" s="177"/>
    <row r="835" ht="15.75" customHeight="1" s="177"/>
    <row r="836" ht="15.75" customHeight="1" s="177"/>
    <row r="837" ht="15.75" customHeight="1" s="177"/>
    <row r="838" ht="15.75" customHeight="1" s="177"/>
    <row r="839" ht="15.75" customHeight="1" s="177"/>
    <row r="840" ht="15.75" customHeight="1" s="177"/>
    <row r="841" ht="15.75" customHeight="1" s="177"/>
    <row r="842" ht="15.75" customHeight="1" s="177"/>
    <row r="843" ht="15.75" customHeight="1" s="177"/>
    <row r="844" ht="15.75" customHeight="1" s="177"/>
    <row r="845" ht="15.75" customHeight="1" s="177"/>
    <row r="846" ht="15.75" customHeight="1" s="177"/>
    <row r="847" ht="15.75" customHeight="1" s="177"/>
    <row r="848" ht="15.75" customHeight="1" s="177"/>
    <row r="849" ht="15.75" customHeight="1" s="177"/>
    <row r="850" ht="15.75" customHeight="1" s="177"/>
    <row r="851" ht="15.75" customHeight="1" s="177"/>
    <row r="852" ht="15.75" customHeight="1" s="177"/>
    <row r="853" ht="15.75" customHeight="1" s="177"/>
    <row r="854" ht="15.75" customHeight="1" s="177"/>
    <row r="855" ht="15.75" customHeight="1" s="177"/>
    <row r="856" ht="15.75" customHeight="1" s="177"/>
    <row r="857" ht="15.75" customHeight="1" s="177"/>
    <row r="858" ht="15.75" customHeight="1" s="177"/>
    <row r="859" ht="15.75" customHeight="1" s="177"/>
    <row r="860" ht="15.75" customHeight="1" s="177"/>
    <row r="861" ht="15.75" customHeight="1" s="177"/>
    <row r="862" ht="15.75" customHeight="1" s="177"/>
    <row r="863" ht="15.75" customHeight="1" s="177"/>
    <row r="864" ht="15.75" customHeight="1" s="177"/>
    <row r="865" ht="15.75" customHeight="1" s="177"/>
    <row r="866" ht="15.75" customHeight="1" s="177"/>
    <row r="867" ht="15.75" customHeight="1" s="177"/>
    <row r="868" ht="15.75" customHeight="1" s="177"/>
    <row r="869" ht="15.75" customHeight="1" s="177"/>
    <row r="870" ht="15.75" customHeight="1" s="177"/>
    <row r="871" ht="15.75" customHeight="1" s="177"/>
    <row r="872" ht="15.75" customHeight="1" s="177"/>
    <row r="873" ht="15.75" customHeight="1" s="177"/>
    <row r="874" ht="15.75" customHeight="1" s="177"/>
    <row r="875" ht="15.75" customHeight="1" s="177"/>
    <row r="876" ht="15.75" customHeight="1" s="177"/>
    <row r="877" ht="15.75" customHeight="1" s="177"/>
    <row r="878" ht="15.75" customHeight="1" s="177"/>
    <row r="879" ht="15.75" customHeight="1" s="177"/>
    <row r="880" ht="15.75" customHeight="1" s="177"/>
    <row r="881" ht="15.75" customHeight="1" s="177"/>
    <row r="882" ht="15.75" customHeight="1" s="177"/>
    <row r="883" ht="15.75" customHeight="1" s="177"/>
    <row r="884" ht="15.75" customHeight="1" s="177"/>
    <row r="885" ht="15.75" customHeight="1" s="177"/>
    <row r="886" ht="15.75" customHeight="1" s="177"/>
    <row r="887" ht="15.75" customHeight="1" s="177"/>
    <row r="888" ht="15.75" customHeight="1" s="177"/>
    <row r="889" ht="15.75" customHeight="1" s="177"/>
    <row r="890" ht="15.75" customHeight="1" s="177"/>
    <row r="891" ht="15.75" customHeight="1" s="177"/>
    <row r="892" ht="15.75" customHeight="1" s="177"/>
    <row r="893" ht="15.75" customHeight="1" s="177"/>
    <row r="894" ht="15.75" customHeight="1" s="177"/>
    <row r="895" ht="15.75" customHeight="1" s="177"/>
    <row r="896" ht="15.75" customHeight="1" s="177"/>
    <row r="897" ht="15.75" customHeight="1" s="177"/>
    <row r="898" ht="15.75" customHeight="1" s="177"/>
    <row r="899" ht="15.75" customHeight="1" s="177"/>
    <row r="900" ht="15.75" customHeight="1" s="177"/>
    <row r="901" ht="15.75" customHeight="1" s="177"/>
    <row r="902" ht="15.75" customHeight="1" s="177"/>
    <row r="903" ht="15.75" customHeight="1" s="177"/>
    <row r="904" ht="15.75" customHeight="1" s="177"/>
    <row r="905" ht="15.75" customHeight="1" s="177"/>
    <row r="906" ht="15.75" customHeight="1" s="177"/>
    <row r="907" ht="15.75" customHeight="1" s="177"/>
    <row r="908" ht="15.75" customHeight="1" s="177"/>
    <row r="909" ht="15.75" customHeight="1" s="177"/>
    <row r="910" ht="15.75" customHeight="1" s="177"/>
    <row r="911" ht="15.75" customHeight="1" s="177"/>
    <row r="912" ht="15.75" customHeight="1" s="177"/>
    <row r="913" ht="15.75" customHeight="1" s="177"/>
    <row r="914" ht="15.75" customHeight="1" s="177"/>
    <row r="915" ht="15.75" customHeight="1" s="177"/>
    <row r="916" ht="15.75" customHeight="1" s="177"/>
    <row r="917" ht="15.75" customHeight="1" s="177"/>
    <row r="918" ht="15.75" customHeight="1" s="177"/>
    <row r="919" ht="15.75" customHeight="1" s="177"/>
    <row r="920" ht="15.75" customHeight="1" s="177"/>
    <row r="921" ht="15.75" customHeight="1" s="177"/>
    <row r="922" ht="15.75" customHeight="1" s="177"/>
    <row r="923" ht="15.75" customHeight="1" s="177"/>
    <row r="924" ht="15.75" customHeight="1" s="177"/>
    <row r="925" ht="15.75" customHeight="1" s="177"/>
    <row r="926" ht="15.75" customHeight="1" s="177"/>
    <row r="927" ht="15.75" customHeight="1" s="177"/>
    <row r="928" ht="15.75" customHeight="1" s="177"/>
    <row r="929" ht="15.75" customHeight="1" s="177"/>
    <row r="930" ht="15.75" customHeight="1" s="177"/>
    <row r="931" ht="15.75" customHeight="1" s="177"/>
    <row r="932" ht="15.75" customHeight="1" s="177"/>
    <row r="933" ht="15.75" customHeight="1" s="177"/>
    <row r="934" ht="15.75" customHeight="1" s="177"/>
    <row r="935" ht="15.75" customHeight="1" s="177"/>
    <row r="936" ht="15.75" customHeight="1" s="177"/>
    <row r="937" ht="15.75" customHeight="1" s="177"/>
    <row r="938" ht="15.75" customHeight="1" s="177"/>
    <row r="939" ht="15.75" customHeight="1" s="177"/>
    <row r="940" ht="15.75" customHeight="1" s="177"/>
    <row r="941" ht="15.75" customHeight="1" s="177"/>
    <row r="942" ht="15.75" customHeight="1" s="177"/>
    <row r="943" ht="15.75" customHeight="1" s="177"/>
    <row r="944" ht="15.75" customHeight="1" s="177"/>
    <row r="945" ht="15.75" customHeight="1" s="177"/>
    <row r="946" ht="15.75" customHeight="1" s="177"/>
    <row r="947" ht="15.75" customHeight="1" s="177"/>
    <row r="948" ht="15.75" customHeight="1" s="177"/>
    <row r="949" ht="15.75" customHeight="1" s="177"/>
    <row r="950" ht="15.75" customHeight="1" s="177"/>
    <row r="951" ht="15.75" customHeight="1" s="177"/>
    <row r="952" ht="15.75" customHeight="1" s="177"/>
    <row r="953" ht="15.75" customHeight="1" s="177"/>
    <row r="954" ht="15.75" customHeight="1" s="177"/>
    <row r="955" ht="15.75" customHeight="1" s="177"/>
    <row r="956" ht="15.75" customHeight="1" s="177"/>
    <row r="957" ht="15.75" customHeight="1" s="177"/>
    <row r="958" ht="15.75" customHeight="1" s="177"/>
    <row r="959" ht="15.75" customHeight="1" s="177"/>
    <row r="960" ht="15.75" customHeight="1" s="177"/>
    <row r="961" ht="15.75" customHeight="1" s="177"/>
    <row r="962" ht="15.75" customHeight="1" s="177"/>
    <row r="963" ht="15.75" customHeight="1" s="177"/>
    <row r="964" ht="15.75" customHeight="1" s="177"/>
    <row r="965" ht="15.75" customHeight="1" s="177"/>
    <row r="966" ht="15.75" customHeight="1" s="177"/>
    <row r="967" ht="15.75" customHeight="1" s="177"/>
    <row r="968" ht="15.75" customHeight="1" s="177"/>
    <row r="969" ht="15.75" customHeight="1" s="177"/>
    <row r="970" ht="15.75" customHeight="1" s="177"/>
    <row r="971" ht="15.75" customHeight="1" s="177"/>
    <row r="972" ht="15.75" customHeight="1" s="177"/>
    <row r="973" ht="15.75" customHeight="1" s="177"/>
    <row r="974" ht="15.75" customHeight="1" s="177"/>
    <row r="975" ht="15.75" customHeight="1" s="177"/>
    <row r="976" ht="15.75" customHeight="1" s="177"/>
    <row r="977" ht="15.75" customHeight="1" s="177"/>
    <row r="978" ht="15.75" customHeight="1" s="177"/>
    <row r="979" ht="15.75" customHeight="1" s="177"/>
    <row r="980" ht="15.75" customHeight="1" s="177"/>
    <row r="981" ht="15.75" customHeight="1" s="177"/>
    <row r="982" ht="15.75" customHeight="1" s="177"/>
    <row r="983" ht="15.75" customHeight="1" s="177"/>
    <row r="984" ht="15.75" customHeight="1" s="177"/>
    <row r="985" ht="15.75" customHeight="1" s="177"/>
    <row r="986" ht="15.75" customHeight="1" s="177"/>
    <row r="987" ht="15.75" customHeight="1" s="177"/>
    <row r="988" ht="15.75" customHeight="1" s="177"/>
    <row r="989" ht="15.75" customHeight="1" s="177"/>
    <row r="990" ht="15.75" customHeight="1" s="177"/>
    <row r="991" ht="15.75" customHeight="1" s="177"/>
    <row r="992" ht="15.75" customHeight="1" s="177"/>
    <row r="993" ht="15.75" customHeight="1" s="177"/>
    <row r="994" ht="15.75" customHeight="1" s="177"/>
    <row r="995" ht="15.75" customHeight="1" s="177"/>
    <row r="996" ht="15.75" customHeight="1" s="177"/>
    <row r="997" ht="15.75" customHeight="1" s="177"/>
    <row r="998" ht="15.75" customHeight="1" s="177"/>
    <row r="999" ht="15.75" customHeight="1" s="177"/>
    <row r="1000" ht="15.75" customHeight="1" s="177"/>
    <row r="1001" ht="15.75" customHeight="1" s="177"/>
    <row r="1002" ht="15.75" customHeight="1" s="177"/>
    <row r="1003" ht="15.75" customHeight="1" s="177"/>
    <row r="1004" ht="15.75" customHeight="1" s="177"/>
    <row r="1005" ht="15.75" customHeight="1" s="177"/>
    <row r="1006" ht="15.75" customHeight="1" s="177"/>
    <row r="1007" ht="15.75" customHeight="1" s="177"/>
    <row r="1008" ht="15.75" customHeight="1" s="177"/>
    <row r="1009" ht="15.75" customHeight="1" s="177"/>
    <row r="1010" ht="15.75" customHeight="1" s="177"/>
    <row r="1011" ht="15.75" customHeight="1" s="177"/>
    <row r="1012" ht="15.75" customHeight="1" s="177"/>
  </sheetData>
  <autoFilter ref="$B$10:$M$74"/>
  <mergeCells count="15">
    <mergeCell ref="D6:E6"/>
    <mergeCell ref="B6:C6"/>
    <mergeCell ref="B2:M3"/>
    <mergeCell ref="H6:I6"/>
    <mergeCell ref="L6:M6"/>
    <mergeCell ref="D7:E8"/>
    <mergeCell ref="B7:C8"/>
    <mergeCell ref="L7:M8"/>
    <mergeCell ref="O12:S18"/>
    <mergeCell ref="J6:K6"/>
    <mergeCell ref="H7:I8"/>
    <mergeCell ref="F7:G8"/>
    <mergeCell ref="J7:K8"/>
    <mergeCell ref="F6:G6"/>
    <mergeCell ref="B4:M4"/>
  </mergeCells>
  <conditionalFormatting sqref="I11:I74">
    <cfRule type="cellIs" priority="1" operator="equal" dxfId="12">
      <formula>"Not Started"</formula>
    </cfRule>
    <cfRule type="cellIs" priority="2" operator="equal" dxfId="13">
      <formula>"In Progress"</formula>
    </cfRule>
    <cfRule type="cellIs" priority="3" operator="equal" dxfId="14">
      <formula>"In Review"</formula>
    </cfRule>
    <cfRule type="cellIs" priority="4" operator="equal" dxfId="15">
      <formula>"Done"</formula>
    </cfRule>
    <cfRule type="cellIs" priority="5" operator="equal" dxfId="16">
      <formula>"Blocked"</formula>
    </cfRule>
    <cfRule type="cellIs" priority="6" operator="equal" dxfId="17">
      <formula>"Cancelled"</formula>
    </cfRule>
  </conditionalFormatting>
  <conditionalFormatting sqref="H11:H74">
    <cfRule type="cellIs" priority="7" operator="equal" dxfId="18">
      <formula>"High"</formula>
    </cfRule>
    <cfRule type="cellIs" priority="8" operator="equal" dxfId="19">
      <formula>"Medium"</formula>
    </cfRule>
    <cfRule type="cellIs" priority="9" operator="equal" dxfId="20">
      <formula>"Low"</formula>
    </cfRule>
  </conditionalFormatting>
  <conditionalFormatting sqref="L11:L74">
    <cfRule type="expression" priority="10" dxfId="16">
      <formula>AND($L11&lt;0,$I11&lt;&gt;"Done")</formula>
    </cfRule>
    <cfRule type="expression" priority="11" dxfId="13">
      <formula>AND($L11&gt;=0,$L11&lt;=2,$I11&lt;&gt;"Done")</formula>
    </cfRule>
  </conditionalFormatting>
  <conditionalFormatting sqref="C11:C74">
    <cfRule type="cellIs" priority="12" operator="equal" dxfId="21">
      <formula>"S1 — MVP"</formula>
    </cfRule>
    <cfRule type="cellIs" priority="13" operator="equal" dxfId="22">
      <formula>"S2 — Medium"</formula>
    </cfRule>
    <cfRule type="cellIs" priority="14" operator="equal" dxfId="23">
      <formula>"S3 — Assessment"</formula>
    </cfRule>
    <cfRule type="cellIs" priority="15" operator="equal" dxfId="24">
      <formula>"S4 — Integration"</formula>
    </cfRule>
    <cfRule type="cellIs" priority="16" operator="equal" dxfId="25">
      <formula>"S5 — Buffer"</formula>
    </cfRule>
  </conditionalFormatting>
  <conditionalFormatting sqref="E11:E74">
    <cfRule type="expression" priority="17" dxfId="26">
      <formula>$I11="Done"</formula>
    </cfRule>
  </conditionalFormatting>
  <dataValidations count="4">
    <dataValidation sqref="I11:I74" showDropDown="0" showInputMessage="0" showErrorMessage="0" allowBlank="1" type="list">
      <formula1>"Not Started,In Progress,In Review,Done,Blocked,Cancelled"</formula1>
    </dataValidation>
    <dataValidation sqref="H11:H74" showDropDown="0" showInputMessage="0" showErrorMessage="0" allowBlank="1" type="list">
      <formula1>"High,Medium,Low"</formula1>
    </dataValidation>
    <dataValidation sqref="F11:F74" showDropDown="0" showInputMessage="0" showErrorMessage="0" allowBlank="1" type="list">
      <formula1>"Farrel - Arch &amp; UI,Mayra - Frontend,Sri - Backend,Semua"</formula1>
    </dataValidation>
    <dataValidation sqref="G11:G74" showDropDown="0" showInputMessage="0" showErrorMessage="0" allowBlank="1" type="list">
      <formula1>"Sprint 1,Sprint 2,Sprint 3,Sprint 4,Sprint 5"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7C3AED"/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177" min="1" max="1"/>
    <col width="12.29" customWidth="1" style="177" min="2" max="2"/>
    <col width="26" customWidth="1" style="177" min="3" max="3"/>
    <col width="22" customWidth="1" style="177" min="4" max="5"/>
    <col width="50" customWidth="1" style="177" min="6" max="6"/>
    <col width="12" customWidth="1" style="177" min="7" max="8"/>
    <col width="10" customWidth="1" style="177" min="9" max="9"/>
    <col width="8.710000000000001" customWidth="1" style="177" min="10" max="26"/>
  </cols>
  <sheetData>
    <row r="2">
      <c r="B2" s="229" t="inlineStr">
        <is>
          <t>TEAM ROSTER &amp; RESPONSIBILITIES</t>
        </is>
      </c>
    </row>
    <row r="3"/>
    <row r="4">
      <c r="B4" s="230" t="inlineStr">
        <is>
          <t>Kelompok SunCost — 3 anggota · Junior Project Laboratorium Informatika</t>
        </is>
      </c>
    </row>
    <row r="7" ht="27.75" customHeight="1" s="177">
      <c r="B7" s="10" t="inlineStr">
        <is>
          <t>#</t>
        </is>
      </c>
      <c r="C7" s="10" t="inlineStr">
        <is>
          <t>Role</t>
        </is>
      </c>
      <c r="D7" s="10" t="inlineStr">
        <is>
          <t>Nama</t>
        </is>
      </c>
      <c r="E7" s="10" t="inlineStr">
        <is>
          <t>NIM</t>
        </is>
      </c>
      <c r="F7" s="10" t="inlineStr">
        <is>
          <t>Primary Responsibilities</t>
        </is>
      </c>
      <c r="G7" s="10" t="inlineStr">
        <is>
          <t>Status</t>
        </is>
      </c>
    </row>
    <row r="8" ht="37.5" customHeight="1" s="177">
      <c r="B8" s="157" t="n">
        <v>1</v>
      </c>
      <c r="C8" s="154" t="inlineStr">
        <is>
          <t>Software Architect &amp; UI/UX</t>
        </is>
      </c>
      <c r="D8" s="175" t="inlineStr">
        <is>
          <t>Muhammad Farrel Al Ghazy</t>
        </is>
      </c>
      <c r="E8" s="175" t="inlineStr">
        <is>
          <t>24/540589/TK/60022</t>
        </is>
      </c>
      <c r="F8" s="175" t="inlineStr">
        <is>
          <t>Arsitektur aplikasi, design system, mockup Figma, review kode, dokumentasi teknis</t>
        </is>
      </c>
      <c r="G8" s="157" t="inlineStr">
        <is>
          <t>Active</t>
        </is>
      </c>
    </row>
    <row r="9" ht="37.5" customHeight="1" s="177">
      <c r="B9" s="162" t="n">
        <v>2</v>
      </c>
      <c r="C9" s="159" t="inlineStr">
        <is>
          <t>Frontend Developer</t>
        </is>
      </c>
      <c r="D9" s="163" t="inlineStr">
        <is>
          <t>Mayravivania Syahda Charisa</t>
        </is>
      </c>
      <c r="E9" s="163" t="inlineStr">
        <is>
          <t>24/538308/TK/59701</t>
        </is>
      </c>
      <c r="F9" s="163" t="inlineStr">
        <is>
          <t>Implementasi halaman WPF, data binding, chart, navigasi antar halaman</t>
        </is>
      </c>
      <c r="G9" s="162" t="inlineStr">
        <is>
          <t>Active</t>
        </is>
      </c>
    </row>
    <row r="10" ht="37.5" customHeight="1" s="177">
      <c r="B10" s="157" t="n">
        <v>3</v>
      </c>
      <c r="C10" s="154" t="inlineStr">
        <is>
          <t>Backend Developer</t>
        </is>
      </c>
      <c r="D10" s="175" t="inlineStr">
        <is>
          <t>Sri Wahyuni Arista</t>
        </is>
      </c>
      <c r="E10" s="175" t="inlineStr">
        <is>
          <t>23/521971/TK/57593</t>
        </is>
      </c>
      <c r="F10" s="175" t="inlineStr">
        <is>
          <t>Mesin perhitungan, integrasi Open-Meteo, skema dan akses SQLite</t>
        </is>
      </c>
      <c r="G10" s="157" t="inlineStr">
        <is>
          <t>Active</t>
        </is>
      </c>
    </row>
    <row r="11" ht="37.5" customHeight="1" s="177">
      <c r="B11" s="162" t="n"/>
      <c r="C11" s="159" t="n"/>
      <c r="D11" s="163" t="n"/>
      <c r="E11" s="163" t="n"/>
      <c r="F11" s="163" t="n"/>
      <c r="G11" s="162" t="n"/>
    </row>
    <row r="12" ht="37.5" customHeight="1" s="177">
      <c r="B12" s="157" t="n"/>
      <c r="C12" s="154" t="n"/>
      <c r="D12" s="175" t="n"/>
      <c r="E12" s="32" t="n"/>
      <c r="F12" s="175" t="n"/>
      <c r="G12" s="157" t="n"/>
    </row>
    <row r="13" ht="37.5" customHeight="1" s="177">
      <c r="B13" s="162" t="n"/>
      <c r="C13" s="159" t="n"/>
      <c r="D13" s="163" t="n"/>
      <c r="E13" s="163" t="n"/>
      <c r="F13" s="163" t="n"/>
      <c r="G13" s="162" t="n"/>
    </row>
    <row r="15">
      <c r="B15" s="180" t="inlineStr">
        <is>
          <t>WORKLOAD DISTRIBUTION (otomatis dari Task Tracker)</t>
        </is>
      </c>
    </row>
    <row r="16" ht="24" customHeight="1" s="177">
      <c r="B16" s="36" t="inlineStr">
        <is>
          <t>PIC</t>
        </is>
      </c>
      <c r="C16" s="36" t="inlineStr">
        <is>
          <t>Total Tasks</t>
        </is>
      </c>
      <c r="D16" s="36" t="inlineStr">
        <is>
          <t>Done</t>
        </is>
      </c>
      <c r="E16" s="36" t="inlineStr">
        <is>
          <t>In Progress</t>
        </is>
      </c>
      <c r="F16" s="36" t="inlineStr">
        <is>
          <t>Blocked</t>
        </is>
      </c>
      <c r="G16" s="36" t="inlineStr">
        <is>
          <t>Not Started</t>
        </is>
      </c>
      <c r="H16" s="36" t="inlineStr">
        <is>
          <t>% Complete</t>
        </is>
      </c>
    </row>
    <row r="17" ht="21.75" customHeight="1" s="177">
      <c r="B17" s="52" t="inlineStr">
        <is>
          <t>Farrel - Arch &amp; UI</t>
        </is>
      </c>
      <c r="C17" s="157">
        <f>COUNTIF('📋 Task Tracker'!$F$11:$F$212,"Farrel - Arch &amp; UI")</f>
        <v/>
      </c>
      <c r="D17" s="157">
        <f>COUNTIFS('📋 Task Tracker'!$F$11:$F$212,"Farrel - Arch &amp; UI",'📋 Task Tracker'!$I$11:$I$212,"Done")</f>
        <v/>
      </c>
      <c r="E17" s="157">
        <f>COUNTIFS('📋 Task Tracker'!$F$11:$F$212,"Farrel - Arch &amp; UI",'📋 Task Tracker'!$I$11:$I$212,"In Progress")</f>
        <v/>
      </c>
      <c r="F17" s="157">
        <f>COUNTIFS('📋 Task Tracker'!$F$11:$F$212,"Farrel - Arch &amp; UI",'📋 Task Tracker'!$I$11:$I$212,"Blocked")</f>
        <v/>
      </c>
      <c r="G17" s="157">
        <f>COUNTIFS('📋 Task Tracker'!$F$11:$F$212,"Farrel - Arch &amp; UI",'📋 Task Tracker'!$I$11:$I$212,"Not Started")</f>
        <v/>
      </c>
      <c r="H17" s="53">
        <f>IFERROR(D17/C17,0)</f>
        <v/>
      </c>
    </row>
    <row r="18" ht="21.75" customHeight="1" s="177">
      <c r="B18" s="63" t="inlineStr">
        <is>
          <t>Mayra - Frontend</t>
        </is>
      </c>
      <c r="C18" s="162">
        <f>COUNTIF('📋 Task Tracker'!$F$11:$F$212,"Mayra - Frontend")</f>
        <v/>
      </c>
      <c r="D18" s="162">
        <f>COUNTIFS('📋 Task Tracker'!$F$11:$F$212,"Mayra - Frontend",'📋 Task Tracker'!$I$11:$I$212,"Done")</f>
        <v/>
      </c>
      <c r="E18" s="162">
        <f>COUNTIFS('📋 Task Tracker'!$F$11:$F$212,"Mayra - Frontend",'📋 Task Tracker'!$I$11:$I$212,"In Progress")</f>
        <v/>
      </c>
      <c r="F18" s="162">
        <f>COUNTIFS('📋 Task Tracker'!$F$11:$F$212,"Mayra - Frontend",'📋 Task Tracker'!$I$11:$I$212,"Blocked")</f>
        <v/>
      </c>
      <c r="G18" s="162">
        <f>COUNTIFS('📋 Task Tracker'!$F$11:$F$212,"Mayra - Frontend",'📋 Task Tracker'!$I$11:$I$212,"Not Started")</f>
        <v/>
      </c>
      <c r="H18" s="64">
        <f>IFERROR(D18/C18,0)</f>
        <v/>
      </c>
    </row>
    <row r="19" ht="21.75" customHeight="1" s="177">
      <c r="B19" s="52" t="inlineStr">
        <is>
          <t>Sri - Backend</t>
        </is>
      </c>
      <c r="C19" s="157">
        <f>COUNTIF('📋 Task Tracker'!$F$11:$F$212,"Sri - Backend")</f>
        <v/>
      </c>
      <c r="D19" s="157">
        <f>COUNTIFS('📋 Task Tracker'!$F$11:$F$212,"Sri - Backend",'📋 Task Tracker'!$I$11:$I$212,"Done")</f>
        <v/>
      </c>
      <c r="E19" s="157">
        <f>COUNTIFS('📋 Task Tracker'!$F$11:$F$212,"Sri - Backend",'📋 Task Tracker'!$I$11:$I$212,"In Progress")</f>
        <v/>
      </c>
      <c r="F19" s="157">
        <f>COUNTIFS('📋 Task Tracker'!$F$11:$F$212,"Sri - Backend",'📋 Task Tracker'!$I$11:$I$212,"Blocked")</f>
        <v/>
      </c>
      <c r="G19" s="157">
        <f>COUNTIFS('📋 Task Tracker'!$F$11:$F$212,"Sri - Backend",'📋 Task Tracker'!$I$11:$I$212,"Not Started")</f>
        <v/>
      </c>
      <c r="H19" s="53">
        <f>IFERROR(D19/C19,0)</f>
        <v/>
      </c>
    </row>
    <row r="20" ht="21.75" customHeight="1" s="177">
      <c r="B20" s="63" t="inlineStr">
        <is>
          <t>Semua</t>
        </is>
      </c>
      <c r="C20" s="162">
        <f>COUNTIF('📋 Task Tracker'!$F$11:$F$212,"Semua")</f>
        <v/>
      </c>
      <c r="D20" s="162">
        <f>COUNTIFS('📋 Task Tracker'!$F$11:$F$212,"Semua",'📋 Task Tracker'!$I$11:$I$212,"Done")</f>
        <v/>
      </c>
      <c r="E20" s="162">
        <f>COUNTIFS('📋 Task Tracker'!$F$11:$F$212,"Semua",'📋 Task Tracker'!$I$11:$I$212,"In Progress")</f>
        <v/>
      </c>
      <c r="F20" s="162">
        <f>COUNTIFS('📋 Task Tracker'!$F$11:$F$212,"Semua",'📋 Task Tracker'!$I$11:$I$212,"Blocked")</f>
        <v/>
      </c>
      <c r="G20" s="162">
        <f>COUNTIFS('📋 Task Tracker'!$F$11:$F$212,"Semua",'📋 Task Tracker'!$I$11:$I$212,"Not Started")</f>
        <v/>
      </c>
      <c r="H20" s="64">
        <f>IFERROR(D20/C20,0)</f>
        <v/>
      </c>
    </row>
    <row r="21" ht="21.75" customHeight="1" s="177">
      <c r="B21" s="52" t="n"/>
      <c r="C21" s="157" t="n"/>
      <c r="D21" s="157" t="n"/>
      <c r="E21" s="157" t="n"/>
      <c r="F21" s="157" t="n"/>
      <c r="G21" s="157" t="n"/>
      <c r="H21" s="53" t="n"/>
    </row>
    <row r="22" ht="21.75" customHeight="1" s="177">
      <c r="B22" s="63" t="n"/>
      <c r="C22" s="162" t="n"/>
      <c r="D22" s="162" t="n"/>
      <c r="E22" s="162" t="n"/>
      <c r="F22" s="162" t="n"/>
      <c r="G22" s="162" t="n"/>
      <c r="H22" s="64" t="n"/>
    </row>
    <row r="23" ht="15.75" customHeight="1" s="177"/>
    <row r="24" ht="15.75" customHeight="1" s="177"/>
    <row r="25" ht="15.75" customHeight="1" s="177"/>
    <row r="26" ht="15.75" customHeight="1" s="177"/>
    <row r="27" ht="15.75" customHeight="1" s="177"/>
    <row r="28" ht="15.75" customHeight="1" s="177"/>
    <row r="29" ht="15.75" customHeight="1" s="177"/>
    <row r="30" ht="15.75" customHeight="1" s="177"/>
    <row r="31" ht="15.75" customHeight="1" s="177"/>
    <row r="32" ht="15.75" customHeight="1" s="177"/>
    <row r="33" ht="15.75" customHeight="1" s="177"/>
    <row r="34" ht="15.75" customHeight="1" s="177"/>
    <row r="35" ht="15.75" customHeight="1" s="177"/>
    <row r="36" ht="15.75" customHeight="1" s="177"/>
    <row r="37" ht="15.75" customHeight="1" s="177"/>
    <row r="38" ht="15.75" customHeight="1" s="177"/>
    <row r="39" ht="15.75" customHeight="1" s="177"/>
    <row r="40" ht="15.75" customHeight="1" s="177"/>
    <row r="41" ht="15.75" customHeight="1" s="177"/>
    <row r="42" ht="15.75" customHeight="1" s="177"/>
    <row r="43" ht="15.75" customHeight="1" s="177"/>
    <row r="44" ht="15.75" customHeight="1" s="177"/>
    <row r="45" ht="15.75" customHeight="1" s="177"/>
    <row r="46" ht="15.75" customHeight="1" s="177"/>
    <row r="47" ht="15.75" customHeight="1" s="177"/>
    <row r="48" ht="15.75" customHeight="1" s="177"/>
    <row r="49" ht="15.75" customHeight="1" s="177"/>
    <row r="50" ht="15.75" customHeight="1" s="177"/>
    <row r="51" ht="15.75" customHeight="1" s="177"/>
    <row r="52" ht="15.75" customHeight="1" s="177"/>
    <row r="53" ht="15.75" customHeight="1" s="177"/>
    <row r="54" ht="15.75" customHeight="1" s="177"/>
    <row r="55" ht="15.75" customHeight="1" s="177"/>
    <row r="56" ht="15.75" customHeight="1" s="177"/>
    <row r="57" ht="15.75" customHeight="1" s="177"/>
    <row r="58" ht="15.75" customHeight="1" s="177"/>
    <row r="59" ht="15.75" customHeight="1" s="177"/>
    <row r="60" ht="15.75" customHeight="1" s="177"/>
    <row r="61" ht="15.75" customHeight="1" s="177"/>
    <row r="62" ht="15.75" customHeight="1" s="177"/>
    <row r="63" ht="15.75" customHeight="1" s="177"/>
    <row r="64" ht="15.75" customHeight="1" s="177"/>
    <row r="65" ht="15.75" customHeight="1" s="177"/>
    <row r="66" ht="15.75" customHeight="1" s="177"/>
    <row r="67" ht="15.75" customHeight="1" s="177"/>
    <row r="68" ht="15.75" customHeight="1" s="177"/>
    <row r="69" ht="15.75" customHeight="1" s="177"/>
    <row r="70" ht="15.75" customHeight="1" s="177"/>
    <row r="71" ht="15.75" customHeight="1" s="177"/>
    <row r="72" ht="15.75" customHeight="1" s="177"/>
    <row r="73" ht="15.75" customHeight="1" s="177"/>
    <row r="74" ht="15.75" customHeight="1" s="177"/>
    <row r="75" ht="15.75" customHeight="1" s="177"/>
    <row r="76" ht="15.75" customHeight="1" s="177"/>
    <row r="77" ht="15.75" customHeight="1" s="177"/>
    <row r="78" ht="15.75" customHeight="1" s="177"/>
    <row r="79" ht="15.75" customHeight="1" s="177"/>
    <row r="80" ht="15.75" customHeight="1" s="177"/>
    <row r="81" ht="15.75" customHeight="1" s="177"/>
    <row r="82" ht="15.75" customHeight="1" s="177"/>
    <row r="83" ht="15.75" customHeight="1" s="177"/>
    <row r="84" ht="15.75" customHeight="1" s="177"/>
    <row r="85" ht="15.75" customHeight="1" s="177"/>
    <row r="86" ht="15.75" customHeight="1" s="177"/>
    <row r="87" ht="15.75" customHeight="1" s="177"/>
    <row r="88" ht="15.75" customHeight="1" s="177"/>
    <row r="89" ht="15.75" customHeight="1" s="177"/>
    <row r="90" ht="15.75" customHeight="1" s="177"/>
    <row r="91" ht="15.75" customHeight="1" s="177"/>
    <row r="92" ht="15.75" customHeight="1" s="177"/>
    <row r="93" ht="15.75" customHeight="1" s="177"/>
    <row r="94" ht="15.75" customHeight="1" s="177"/>
    <row r="95" ht="15.75" customHeight="1" s="177"/>
    <row r="96" ht="15.75" customHeight="1" s="177"/>
    <row r="97" ht="15.75" customHeight="1" s="177"/>
    <row r="98" ht="15.75" customHeight="1" s="177"/>
    <row r="99" ht="15.75" customHeight="1" s="177"/>
    <row r="100" ht="15.75" customHeight="1" s="177"/>
    <row r="101" ht="15.75" customHeight="1" s="177"/>
    <row r="102" ht="15.75" customHeight="1" s="177"/>
    <row r="103" ht="15.75" customHeight="1" s="177"/>
    <row r="104" ht="15.75" customHeight="1" s="177"/>
    <row r="105" ht="15.75" customHeight="1" s="177"/>
    <row r="106" ht="15.75" customHeight="1" s="177"/>
    <row r="107" ht="15.75" customHeight="1" s="177"/>
    <row r="108" ht="15.75" customHeight="1" s="177"/>
    <row r="109" ht="15.75" customHeight="1" s="177"/>
    <row r="110" ht="15.75" customHeight="1" s="177"/>
    <row r="111" ht="15.75" customHeight="1" s="177"/>
    <row r="112" ht="15.75" customHeight="1" s="177"/>
    <row r="113" ht="15.75" customHeight="1" s="177"/>
    <row r="114" ht="15.75" customHeight="1" s="177"/>
    <row r="115" ht="15.75" customHeight="1" s="177"/>
    <row r="116" ht="15.75" customHeight="1" s="177"/>
    <row r="117" ht="15.75" customHeight="1" s="177"/>
    <row r="118" ht="15.75" customHeight="1" s="177"/>
    <row r="119" ht="15.75" customHeight="1" s="177"/>
    <row r="120" ht="15.75" customHeight="1" s="177"/>
    <row r="121" ht="15.75" customHeight="1" s="177"/>
    <row r="122" ht="15.75" customHeight="1" s="177"/>
    <row r="123" ht="15.75" customHeight="1" s="177"/>
    <row r="124" ht="15.75" customHeight="1" s="177"/>
    <row r="125" ht="15.75" customHeight="1" s="177"/>
    <row r="126" ht="15.75" customHeight="1" s="177"/>
    <row r="127" ht="15.75" customHeight="1" s="177"/>
    <row r="128" ht="15.75" customHeight="1" s="177"/>
    <row r="129" ht="15.75" customHeight="1" s="177"/>
    <row r="130" ht="15.75" customHeight="1" s="177"/>
    <row r="131" ht="15.75" customHeight="1" s="177"/>
    <row r="132" ht="15.75" customHeight="1" s="177"/>
    <row r="133" ht="15.75" customHeight="1" s="177"/>
    <row r="134" ht="15.75" customHeight="1" s="177"/>
    <row r="135" ht="15.75" customHeight="1" s="177"/>
    <row r="136" ht="15.75" customHeight="1" s="177"/>
    <row r="137" ht="15.75" customHeight="1" s="177"/>
    <row r="138" ht="15.75" customHeight="1" s="177"/>
    <row r="139" ht="15.75" customHeight="1" s="177"/>
    <row r="140" ht="15.75" customHeight="1" s="177"/>
    <row r="141" ht="15.75" customHeight="1" s="177"/>
    <row r="142" ht="15.75" customHeight="1" s="177"/>
    <row r="143" ht="15.75" customHeight="1" s="177"/>
    <row r="144" ht="15.75" customHeight="1" s="177"/>
    <row r="145" ht="15.75" customHeight="1" s="177"/>
    <row r="146" ht="15.75" customHeight="1" s="177"/>
    <row r="147" ht="15.75" customHeight="1" s="177"/>
    <row r="148" ht="15.75" customHeight="1" s="177"/>
    <row r="149" ht="15.75" customHeight="1" s="177"/>
    <row r="150" ht="15.75" customHeight="1" s="177"/>
    <row r="151" ht="15.75" customHeight="1" s="177"/>
    <row r="152" ht="15.75" customHeight="1" s="177"/>
    <row r="153" ht="15.75" customHeight="1" s="177"/>
    <row r="154" ht="15.75" customHeight="1" s="177"/>
    <row r="155" ht="15.75" customHeight="1" s="177"/>
    <row r="156" ht="15.75" customHeight="1" s="177"/>
    <row r="157" ht="15.75" customHeight="1" s="177"/>
    <row r="158" ht="15.75" customHeight="1" s="177"/>
    <row r="159" ht="15.75" customHeight="1" s="177"/>
    <row r="160" ht="15.75" customHeight="1" s="177"/>
    <row r="161" ht="15.75" customHeight="1" s="177"/>
    <row r="162" ht="15.75" customHeight="1" s="177"/>
    <row r="163" ht="15.75" customHeight="1" s="177"/>
    <row r="164" ht="15.75" customHeight="1" s="177"/>
    <row r="165" ht="15.75" customHeight="1" s="177"/>
    <row r="166" ht="15.75" customHeight="1" s="177"/>
    <row r="167" ht="15.75" customHeight="1" s="177"/>
    <row r="168" ht="15.75" customHeight="1" s="177"/>
    <row r="169" ht="15.75" customHeight="1" s="177"/>
    <row r="170" ht="15.75" customHeight="1" s="177"/>
    <row r="171" ht="15.75" customHeight="1" s="177"/>
    <row r="172" ht="15.75" customHeight="1" s="177"/>
    <row r="173" ht="15.75" customHeight="1" s="177"/>
    <row r="174" ht="15.75" customHeight="1" s="177"/>
    <row r="175" ht="15.75" customHeight="1" s="177"/>
    <row r="176" ht="15.75" customHeight="1" s="177"/>
    <row r="177" ht="15.75" customHeight="1" s="177"/>
    <row r="178" ht="15.75" customHeight="1" s="177"/>
    <row r="179" ht="15.75" customHeight="1" s="177"/>
    <row r="180" ht="15.75" customHeight="1" s="177"/>
    <row r="181" ht="15.75" customHeight="1" s="177"/>
    <row r="182" ht="15.75" customHeight="1" s="177"/>
    <row r="183" ht="15.75" customHeight="1" s="177"/>
    <row r="184" ht="15.75" customHeight="1" s="177"/>
    <row r="185" ht="15.75" customHeight="1" s="177"/>
    <row r="186" ht="15.75" customHeight="1" s="177"/>
    <row r="187" ht="15.75" customHeight="1" s="177"/>
    <row r="188" ht="15.75" customHeight="1" s="177"/>
    <row r="189" ht="15.75" customHeight="1" s="177"/>
    <row r="190" ht="15.75" customHeight="1" s="177"/>
    <row r="191" ht="15.75" customHeight="1" s="177"/>
    <row r="192" ht="15.75" customHeight="1" s="177"/>
    <row r="193" ht="15.75" customHeight="1" s="177"/>
    <row r="194" ht="15.75" customHeight="1" s="177"/>
    <row r="195" ht="15.75" customHeight="1" s="177"/>
    <row r="196" ht="15.75" customHeight="1" s="177"/>
    <row r="197" ht="15.75" customHeight="1" s="177"/>
    <row r="198" ht="15.75" customHeight="1" s="177"/>
    <row r="199" ht="15.75" customHeight="1" s="177"/>
    <row r="200" ht="15.75" customHeight="1" s="177"/>
    <row r="201" ht="15.75" customHeight="1" s="177"/>
    <row r="202" ht="15.75" customHeight="1" s="177"/>
    <row r="203" ht="15.75" customHeight="1" s="177"/>
    <row r="204" ht="15.75" customHeight="1" s="177"/>
    <row r="205" ht="15.75" customHeight="1" s="177"/>
    <row r="206" ht="15.75" customHeight="1" s="177"/>
    <row r="207" ht="15.75" customHeight="1" s="177"/>
    <row r="208" ht="15.75" customHeight="1" s="177"/>
    <row r="209" ht="15.75" customHeight="1" s="177"/>
    <row r="210" ht="15.75" customHeight="1" s="177"/>
    <row r="211" ht="15.75" customHeight="1" s="177"/>
    <row r="212" ht="15.75" customHeight="1" s="177"/>
    <row r="213" ht="15.75" customHeight="1" s="177"/>
    <row r="214" ht="15.75" customHeight="1" s="177"/>
    <row r="215" ht="15.75" customHeight="1" s="177"/>
    <row r="216" ht="15.75" customHeight="1" s="177"/>
    <row r="217" ht="15.75" customHeight="1" s="177"/>
    <row r="218" ht="15.75" customHeight="1" s="177"/>
    <row r="219" ht="15.75" customHeight="1" s="177"/>
    <row r="220" ht="15.75" customHeight="1" s="177"/>
    <row r="221" ht="15.75" customHeight="1" s="177"/>
    <row r="222" ht="15.75" customHeight="1" s="177"/>
    <row r="223" ht="15.75" customHeight="1" s="177"/>
    <row r="224" ht="15.75" customHeight="1" s="177"/>
    <row r="225" ht="15.75" customHeight="1" s="177"/>
    <row r="226" ht="15.75" customHeight="1" s="177"/>
    <row r="227" ht="15.75" customHeight="1" s="177"/>
    <row r="228" ht="15.75" customHeight="1" s="177"/>
    <row r="229" ht="15.75" customHeight="1" s="177"/>
    <row r="230" ht="15.75" customHeight="1" s="177"/>
    <row r="231" ht="15.75" customHeight="1" s="177"/>
    <row r="232" ht="15.75" customHeight="1" s="177"/>
    <row r="233" ht="15.75" customHeight="1" s="177"/>
    <row r="234" ht="15.75" customHeight="1" s="177"/>
    <row r="235" ht="15.75" customHeight="1" s="177"/>
    <row r="236" ht="15.75" customHeight="1" s="177"/>
    <row r="237" ht="15.75" customHeight="1" s="177"/>
    <row r="238" ht="15.75" customHeight="1" s="177"/>
    <row r="239" ht="15.75" customHeight="1" s="177"/>
    <row r="240" ht="15.75" customHeight="1" s="177"/>
    <row r="241" ht="15.75" customHeight="1" s="177"/>
    <row r="242" ht="15.75" customHeight="1" s="177"/>
    <row r="243" ht="15.75" customHeight="1" s="177"/>
    <row r="244" ht="15.75" customHeight="1" s="177"/>
    <row r="245" ht="15.75" customHeight="1" s="177"/>
    <row r="246" ht="15.75" customHeight="1" s="177"/>
    <row r="247" ht="15.75" customHeight="1" s="177"/>
    <row r="248" ht="15.75" customHeight="1" s="177"/>
    <row r="249" ht="15.75" customHeight="1" s="177"/>
    <row r="250" ht="15.75" customHeight="1" s="177"/>
    <row r="251" ht="15.75" customHeight="1" s="177"/>
    <row r="252" ht="15.75" customHeight="1" s="177"/>
    <row r="253" ht="15.75" customHeight="1" s="177"/>
    <row r="254" ht="15.75" customHeight="1" s="177"/>
    <row r="255" ht="15.75" customHeight="1" s="177"/>
    <row r="256" ht="15.75" customHeight="1" s="177"/>
    <row r="257" ht="15.75" customHeight="1" s="177"/>
    <row r="258" ht="15.75" customHeight="1" s="177"/>
    <row r="259" ht="15.75" customHeight="1" s="177"/>
    <row r="260" ht="15.75" customHeight="1" s="177"/>
    <row r="261" ht="15.75" customHeight="1" s="177"/>
    <row r="262" ht="15.75" customHeight="1" s="177"/>
    <row r="263" ht="15.75" customHeight="1" s="177"/>
    <row r="264" ht="15.75" customHeight="1" s="177"/>
    <row r="265" ht="15.75" customHeight="1" s="177"/>
    <row r="266" ht="15.75" customHeight="1" s="177"/>
    <row r="267" ht="15.75" customHeight="1" s="177"/>
    <row r="268" ht="15.75" customHeight="1" s="177"/>
    <row r="269" ht="15.75" customHeight="1" s="177"/>
    <row r="270" ht="15.75" customHeight="1" s="177"/>
    <row r="271" ht="15.75" customHeight="1" s="177"/>
    <row r="272" ht="15.75" customHeight="1" s="177"/>
    <row r="273" ht="15.75" customHeight="1" s="177"/>
    <row r="274" ht="15.75" customHeight="1" s="177"/>
    <row r="275" ht="15.75" customHeight="1" s="177"/>
    <row r="276" ht="15.75" customHeight="1" s="177"/>
    <row r="277" ht="15.75" customHeight="1" s="177"/>
    <row r="278" ht="15.75" customHeight="1" s="177"/>
    <row r="279" ht="15.75" customHeight="1" s="177"/>
    <row r="280" ht="15.75" customHeight="1" s="177"/>
    <row r="281" ht="15.75" customHeight="1" s="177"/>
    <row r="282" ht="15.75" customHeight="1" s="177"/>
    <row r="283" ht="15.75" customHeight="1" s="177"/>
    <row r="284" ht="15.75" customHeight="1" s="177"/>
    <row r="285" ht="15.75" customHeight="1" s="177"/>
    <row r="286" ht="15.75" customHeight="1" s="177"/>
    <row r="287" ht="15.75" customHeight="1" s="177"/>
    <row r="288" ht="15.75" customHeight="1" s="177"/>
    <row r="289" ht="15.75" customHeight="1" s="177"/>
    <row r="290" ht="15.75" customHeight="1" s="177"/>
    <row r="291" ht="15.75" customHeight="1" s="177"/>
    <row r="292" ht="15.75" customHeight="1" s="177"/>
    <row r="293" ht="15.75" customHeight="1" s="177"/>
    <row r="294" ht="15.75" customHeight="1" s="177"/>
    <row r="295" ht="15.75" customHeight="1" s="177"/>
    <row r="296" ht="15.75" customHeight="1" s="177"/>
    <row r="297" ht="15.75" customHeight="1" s="177"/>
    <row r="298" ht="15.75" customHeight="1" s="177"/>
    <row r="299" ht="15.75" customHeight="1" s="177"/>
    <row r="300" ht="15.75" customHeight="1" s="177"/>
    <row r="301" ht="15.75" customHeight="1" s="177"/>
    <row r="302" ht="15.75" customHeight="1" s="177"/>
    <row r="303" ht="15.75" customHeight="1" s="177"/>
    <row r="304" ht="15.75" customHeight="1" s="177"/>
    <row r="305" ht="15.75" customHeight="1" s="177"/>
    <row r="306" ht="15.75" customHeight="1" s="177"/>
    <row r="307" ht="15.75" customHeight="1" s="177"/>
    <row r="308" ht="15.75" customHeight="1" s="177"/>
    <row r="309" ht="15.75" customHeight="1" s="177"/>
    <row r="310" ht="15.75" customHeight="1" s="177"/>
    <row r="311" ht="15.75" customHeight="1" s="177"/>
    <row r="312" ht="15.75" customHeight="1" s="177"/>
    <row r="313" ht="15.75" customHeight="1" s="177"/>
    <row r="314" ht="15.75" customHeight="1" s="177"/>
    <row r="315" ht="15.75" customHeight="1" s="177"/>
    <row r="316" ht="15.75" customHeight="1" s="177"/>
    <row r="317" ht="15.75" customHeight="1" s="177"/>
    <row r="318" ht="15.75" customHeight="1" s="177"/>
    <row r="319" ht="15.75" customHeight="1" s="177"/>
    <row r="320" ht="15.75" customHeight="1" s="177"/>
    <row r="321" ht="15.75" customHeight="1" s="177"/>
    <row r="322" ht="15.75" customHeight="1" s="177"/>
    <row r="323" ht="15.75" customHeight="1" s="177"/>
    <row r="324" ht="15.75" customHeight="1" s="177"/>
    <row r="325" ht="15.75" customHeight="1" s="177"/>
    <row r="326" ht="15.75" customHeight="1" s="177"/>
    <row r="327" ht="15.75" customHeight="1" s="177"/>
    <row r="328" ht="15.75" customHeight="1" s="177"/>
    <row r="329" ht="15.75" customHeight="1" s="177"/>
    <row r="330" ht="15.75" customHeight="1" s="177"/>
    <row r="331" ht="15.75" customHeight="1" s="177"/>
    <row r="332" ht="15.75" customHeight="1" s="177"/>
    <row r="333" ht="15.75" customHeight="1" s="177"/>
    <row r="334" ht="15.75" customHeight="1" s="177"/>
    <row r="335" ht="15.75" customHeight="1" s="177"/>
    <row r="336" ht="15.75" customHeight="1" s="177"/>
    <row r="337" ht="15.75" customHeight="1" s="177"/>
    <row r="338" ht="15.75" customHeight="1" s="177"/>
    <row r="339" ht="15.75" customHeight="1" s="177"/>
    <row r="340" ht="15.75" customHeight="1" s="177"/>
    <row r="341" ht="15.75" customHeight="1" s="177"/>
    <row r="342" ht="15.75" customHeight="1" s="177"/>
    <row r="343" ht="15.75" customHeight="1" s="177"/>
    <row r="344" ht="15.75" customHeight="1" s="177"/>
    <row r="345" ht="15.75" customHeight="1" s="177"/>
    <row r="346" ht="15.75" customHeight="1" s="177"/>
    <row r="347" ht="15.75" customHeight="1" s="177"/>
    <row r="348" ht="15.75" customHeight="1" s="177"/>
    <row r="349" ht="15.75" customHeight="1" s="177"/>
    <row r="350" ht="15.75" customHeight="1" s="177"/>
    <row r="351" ht="15.75" customHeight="1" s="177"/>
    <row r="352" ht="15.75" customHeight="1" s="177"/>
    <row r="353" ht="15.75" customHeight="1" s="177"/>
    <row r="354" ht="15.75" customHeight="1" s="177"/>
    <row r="355" ht="15.75" customHeight="1" s="177"/>
    <row r="356" ht="15.75" customHeight="1" s="177"/>
    <row r="357" ht="15.75" customHeight="1" s="177"/>
    <row r="358" ht="15.75" customHeight="1" s="177"/>
    <row r="359" ht="15.75" customHeight="1" s="177"/>
    <row r="360" ht="15.75" customHeight="1" s="177"/>
    <row r="361" ht="15.75" customHeight="1" s="177"/>
    <row r="362" ht="15.75" customHeight="1" s="177"/>
    <row r="363" ht="15.75" customHeight="1" s="177"/>
    <row r="364" ht="15.75" customHeight="1" s="177"/>
    <row r="365" ht="15.75" customHeight="1" s="177"/>
    <row r="366" ht="15.75" customHeight="1" s="177"/>
    <row r="367" ht="15.75" customHeight="1" s="177"/>
    <row r="368" ht="15.75" customHeight="1" s="177"/>
    <row r="369" ht="15.75" customHeight="1" s="177"/>
    <row r="370" ht="15.75" customHeight="1" s="177"/>
    <row r="371" ht="15.75" customHeight="1" s="177"/>
    <row r="372" ht="15.75" customHeight="1" s="177"/>
    <row r="373" ht="15.75" customHeight="1" s="177"/>
    <row r="374" ht="15.75" customHeight="1" s="177"/>
    <row r="375" ht="15.75" customHeight="1" s="177"/>
    <row r="376" ht="15.75" customHeight="1" s="177"/>
    <row r="377" ht="15.75" customHeight="1" s="177"/>
    <row r="378" ht="15.75" customHeight="1" s="177"/>
    <row r="379" ht="15.75" customHeight="1" s="177"/>
    <row r="380" ht="15.75" customHeight="1" s="177"/>
    <row r="381" ht="15.75" customHeight="1" s="177"/>
    <row r="382" ht="15.75" customHeight="1" s="177"/>
    <row r="383" ht="15.75" customHeight="1" s="177"/>
    <row r="384" ht="15.75" customHeight="1" s="177"/>
    <row r="385" ht="15.75" customHeight="1" s="177"/>
    <row r="386" ht="15.75" customHeight="1" s="177"/>
    <row r="387" ht="15.75" customHeight="1" s="177"/>
    <row r="388" ht="15.75" customHeight="1" s="177"/>
    <row r="389" ht="15.75" customHeight="1" s="177"/>
    <row r="390" ht="15.75" customHeight="1" s="177"/>
    <row r="391" ht="15.75" customHeight="1" s="177"/>
    <row r="392" ht="15.75" customHeight="1" s="177"/>
    <row r="393" ht="15.75" customHeight="1" s="177"/>
    <row r="394" ht="15.75" customHeight="1" s="177"/>
    <row r="395" ht="15.75" customHeight="1" s="177"/>
    <row r="396" ht="15.75" customHeight="1" s="177"/>
    <row r="397" ht="15.75" customHeight="1" s="177"/>
    <row r="398" ht="15.75" customHeight="1" s="177"/>
    <row r="399" ht="15.75" customHeight="1" s="177"/>
    <row r="400" ht="15.75" customHeight="1" s="177"/>
    <row r="401" ht="15.75" customHeight="1" s="177"/>
    <row r="402" ht="15.75" customHeight="1" s="177"/>
    <row r="403" ht="15.75" customHeight="1" s="177"/>
    <row r="404" ht="15.75" customHeight="1" s="177"/>
    <row r="405" ht="15.75" customHeight="1" s="177"/>
    <row r="406" ht="15.75" customHeight="1" s="177"/>
    <row r="407" ht="15.75" customHeight="1" s="177"/>
    <row r="408" ht="15.75" customHeight="1" s="177"/>
    <row r="409" ht="15.75" customHeight="1" s="177"/>
    <row r="410" ht="15.75" customHeight="1" s="177"/>
    <row r="411" ht="15.75" customHeight="1" s="177"/>
    <row r="412" ht="15.75" customHeight="1" s="177"/>
    <row r="413" ht="15.75" customHeight="1" s="177"/>
    <row r="414" ht="15.75" customHeight="1" s="177"/>
    <row r="415" ht="15.75" customHeight="1" s="177"/>
    <row r="416" ht="15.75" customHeight="1" s="177"/>
    <row r="417" ht="15.75" customHeight="1" s="177"/>
    <row r="418" ht="15.75" customHeight="1" s="177"/>
    <row r="419" ht="15.75" customHeight="1" s="177"/>
    <row r="420" ht="15.75" customHeight="1" s="177"/>
    <row r="421" ht="15.75" customHeight="1" s="177"/>
    <row r="422" ht="15.75" customHeight="1" s="177"/>
    <row r="423" ht="15.75" customHeight="1" s="177"/>
    <row r="424" ht="15.75" customHeight="1" s="177"/>
    <row r="425" ht="15.75" customHeight="1" s="177"/>
    <row r="426" ht="15.75" customHeight="1" s="177"/>
    <row r="427" ht="15.75" customHeight="1" s="177"/>
    <row r="428" ht="15.75" customHeight="1" s="177"/>
    <row r="429" ht="15.75" customHeight="1" s="177"/>
    <row r="430" ht="15.75" customHeight="1" s="177"/>
    <row r="431" ht="15.75" customHeight="1" s="177"/>
    <row r="432" ht="15.75" customHeight="1" s="177"/>
    <row r="433" ht="15.75" customHeight="1" s="177"/>
    <row r="434" ht="15.75" customHeight="1" s="177"/>
    <row r="435" ht="15.75" customHeight="1" s="177"/>
    <row r="436" ht="15.75" customHeight="1" s="177"/>
    <row r="437" ht="15.75" customHeight="1" s="177"/>
    <row r="438" ht="15.75" customHeight="1" s="177"/>
    <row r="439" ht="15.75" customHeight="1" s="177"/>
    <row r="440" ht="15.75" customHeight="1" s="177"/>
    <row r="441" ht="15.75" customHeight="1" s="177"/>
    <row r="442" ht="15.75" customHeight="1" s="177"/>
    <row r="443" ht="15.75" customHeight="1" s="177"/>
    <row r="444" ht="15.75" customHeight="1" s="177"/>
    <row r="445" ht="15.75" customHeight="1" s="177"/>
    <row r="446" ht="15.75" customHeight="1" s="177"/>
    <row r="447" ht="15.75" customHeight="1" s="177"/>
    <row r="448" ht="15.75" customHeight="1" s="177"/>
    <row r="449" ht="15.75" customHeight="1" s="177"/>
    <row r="450" ht="15.75" customHeight="1" s="177"/>
    <row r="451" ht="15.75" customHeight="1" s="177"/>
    <row r="452" ht="15.75" customHeight="1" s="177"/>
    <row r="453" ht="15.75" customHeight="1" s="177"/>
    <row r="454" ht="15.75" customHeight="1" s="177"/>
    <row r="455" ht="15.75" customHeight="1" s="177"/>
    <row r="456" ht="15.75" customHeight="1" s="177"/>
    <row r="457" ht="15.75" customHeight="1" s="177"/>
    <row r="458" ht="15.75" customHeight="1" s="177"/>
    <row r="459" ht="15.75" customHeight="1" s="177"/>
    <row r="460" ht="15.75" customHeight="1" s="177"/>
    <row r="461" ht="15.75" customHeight="1" s="177"/>
    <row r="462" ht="15.75" customHeight="1" s="177"/>
    <row r="463" ht="15.75" customHeight="1" s="177"/>
    <row r="464" ht="15.75" customHeight="1" s="177"/>
    <row r="465" ht="15.75" customHeight="1" s="177"/>
    <row r="466" ht="15.75" customHeight="1" s="177"/>
    <row r="467" ht="15.75" customHeight="1" s="177"/>
    <row r="468" ht="15.75" customHeight="1" s="177"/>
    <row r="469" ht="15.75" customHeight="1" s="177"/>
    <row r="470" ht="15.75" customHeight="1" s="177"/>
    <row r="471" ht="15.75" customHeight="1" s="177"/>
    <row r="472" ht="15.75" customHeight="1" s="177"/>
    <row r="473" ht="15.75" customHeight="1" s="177"/>
    <row r="474" ht="15.75" customHeight="1" s="177"/>
    <row r="475" ht="15.75" customHeight="1" s="177"/>
    <row r="476" ht="15.75" customHeight="1" s="177"/>
    <row r="477" ht="15.75" customHeight="1" s="177"/>
    <row r="478" ht="15.75" customHeight="1" s="177"/>
    <row r="479" ht="15.75" customHeight="1" s="177"/>
    <row r="480" ht="15.75" customHeight="1" s="177"/>
    <row r="481" ht="15.75" customHeight="1" s="177"/>
    <row r="482" ht="15.75" customHeight="1" s="177"/>
    <row r="483" ht="15.75" customHeight="1" s="177"/>
    <row r="484" ht="15.75" customHeight="1" s="177"/>
    <row r="485" ht="15.75" customHeight="1" s="177"/>
    <row r="486" ht="15.75" customHeight="1" s="177"/>
    <row r="487" ht="15.75" customHeight="1" s="177"/>
    <row r="488" ht="15.75" customHeight="1" s="177"/>
    <row r="489" ht="15.75" customHeight="1" s="177"/>
    <row r="490" ht="15.75" customHeight="1" s="177"/>
    <row r="491" ht="15.75" customHeight="1" s="177"/>
    <row r="492" ht="15.75" customHeight="1" s="177"/>
    <row r="493" ht="15.75" customHeight="1" s="177"/>
    <row r="494" ht="15.75" customHeight="1" s="177"/>
    <row r="495" ht="15.75" customHeight="1" s="177"/>
    <row r="496" ht="15.75" customHeight="1" s="177"/>
    <row r="497" ht="15.75" customHeight="1" s="177"/>
    <row r="498" ht="15.75" customHeight="1" s="177"/>
    <row r="499" ht="15.75" customHeight="1" s="177"/>
    <row r="500" ht="15.75" customHeight="1" s="177"/>
    <row r="501" ht="15.75" customHeight="1" s="177"/>
    <row r="502" ht="15.75" customHeight="1" s="177"/>
    <row r="503" ht="15.75" customHeight="1" s="177"/>
    <row r="504" ht="15.75" customHeight="1" s="177"/>
    <row r="505" ht="15.75" customHeight="1" s="177"/>
    <row r="506" ht="15.75" customHeight="1" s="177"/>
    <row r="507" ht="15.75" customHeight="1" s="177"/>
    <row r="508" ht="15.75" customHeight="1" s="177"/>
    <row r="509" ht="15.75" customHeight="1" s="177"/>
    <row r="510" ht="15.75" customHeight="1" s="177"/>
    <row r="511" ht="15.75" customHeight="1" s="177"/>
    <row r="512" ht="15.75" customHeight="1" s="177"/>
    <row r="513" ht="15.75" customHeight="1" s="177"/>
    <row r="514" ht="15.75" customHeight="1" s="177"/>
    <row r="515" ht="15.75" customHeight="1" s="177"/>
    <row r="516" ht="15.75" customHeight="1" s="177"/>
    <row r="517" ht="15.75" customHeight="1" s="177"/>
    <row r="518" ht="15.75" customHeight="1" s="177"/>
    <row r="519" ht="15.75" customHeight="1" s="177"/>
    <row r="520" ht="15.75" customHeight="1" s="177"/>
    <row r="521" ht="15.75" customHeight="1" s="177"/>
    <row r="522" ht="15.75" customHeight="1" s="177"/>
    <row r="523" ht="15.75" customHeight="1" s="177"/>
    <row r="524" ht="15.75" customHeight="1" s="177"/>
    <row r="525" ht="15.75" customHeight="1" s="177"/>
    <row r="526" ht="15.75" customHeight="1" s="177"/>
    <row r="527" ht="15.75" customHeight="1" s="177"/>
    <row r="528" ht="15.75" customHeight="1" s="177"/>
    <row r="529" ht="15.75" customHeight="1" s="177"/>
    <row r="530" ht="15.75" customHeight="1" s="177"/>
    <row r="531" ht="15.75" customHeight="1" s="177"/>
    <row r="532" ht="15.75" customHeight="1" s="177"/>
    <row r="533" ht="15.75" customHeight="1" s="177"/>
    <row r="534" ht="15.75" customHeight="1" s="177"/>
    <row r="535" ht="15.75" customHeight="1" s="177"/>
    <row r="536" ht="15.75" customHeight="1" s="177"/>
    <row r="537" ht="15.75" customHeight="1" s="177"/>
    <row r="538" ht="15.75" customHeight="1" s="177"/>
    <row r="539" ht="15.75" customHeight="1" s="177"/>
    <row r="540" ht="15.75" customHeight="1" s="177"/>
    <row r="541" ht="15.75" customHeight="1" s="177"/>
    <row r="542" ht="15.75" customHeight="1" s="177"/>
    <row r="543" ht="15.75" customHeight="1" s="177"/>
    <row r="544" ht="15.75" customHeight="1" s="177"/>
    <row r="545" ht="15.75" customHeight="1" s="177"/>
    <row r="546" ht="15.75" customHeight="1" s="177"/>
    <row r="547" ht="15.75" customHeight="1" s="177"/>
    <row r="548" ht="15.75" customHeight="1" s="177"/>
    <row r="549" ht="15.75" customHeight="1" s="177"/>
    <row r="550" ht="15.75" customHeight="1" s="177"/>
    <row r="551" ht="15.75" customHeight="1" s="177"/>
    <row r="552" ht="15.75" customHeight="1" s="177"/>
    <row r="553" ht="15.75" customHeight="1" s="177"/>
    <row r="554" ht="15.75" customHeight="1" s="177"/>
    <row r="555" ht="15.75" customHeight="1" s="177"/>
    <row r="556" ht="15.75" customHeight="1" s="177"/>
    <row r="557" ht="15.75" customHeight="1" s="177"/>
    <row r="558" ht="15.75" customHeight="1" s="177"/>
    <row r="559" ht="15.75" customHeight="1" s="177"/>
    <row r="560" ht="15.75" customHeight="1" s="177"/>
    <row r="561" ht="15.75" customHeight="1" s="177"/>
    <row r="562" ht="15.75" customHeight="1" s="177"/>
    <row r="563" ht="15.75" customHeight="1" s="177"/>
    <row r="564" ht="15.75" customHeight="1" s="177"/>
    <row r="565" ht="15.75" customHeight="1" s="177"/>
    <row r="566" ht="15.75" customHeight="1" s="177"/>
    <row r="567" ht="15.75" customHeight="1" s="177"/>
    <row r="568" ht="15.75" customHeight="1" s="177"/>
    <row r="569" ht="15.75" customHeight="1" s="177"/>
    <row r="570" ht="15.75" customHeight="1" s="177"/>
    <row r="571" ht="15.75" customHeight="1" s="177"/>
    <row r="572" ht="15.75" customHeight="1" s="177"/>
    <row r="573" ht="15.75" customHeight="1" s="177"/>
    <row r="574" ht="15.75" customHeight="1" s="177"/>
    <row r="575" ht="15.75" customHeight="1" s="177"/>
    <row r="576" ht="15.75" customHeight="1" s="177"/>
    <row r="577" ht="15.75" customHeight="1" s="177"/>
    <row r="578" ht="15.75" customHeight="1" s="177"/>
    <row r="579" ht="15.75" customHeight="1" s="177"/>
    <row r="580" ht="15.75" customHeight="1" s="177"/>
    <row r="581" ht="15.75" customHeight="1" s="177"/>
    <row r="582" ht="15.75" customHeight="1" s="177"/>
    <row r="583" ht="15.75" customHeight="1" s="177"/>
    <row r="584" ht="15.75" customHeight="1" s="177"/>
    <row r="585" ht="15.75" customHeight="1" s="177"/>
    <row r="586" ht="15.75" customHeight="1" s="177"/>
    <row r="587" ht="15.75" customHeight="1" s="177"/>
    <row r="588" ht="15.75" customHeight="1" s="177"/>
    <row r="589" ht="15.75" customHeight="1" s="177"/>
    <row r="590" ht="15.75" customHeight="1" s="177"/>
    <row r="591" ht="15.75" customHeight="1" s="177"/>
    <row r="592" ht="15.75" customHeight="1" s="177"/>
    <row r="593" ht="15.75" customHeight="1" s="177"/>
    <row r="594" ht="15.75" customHeight="1" s="177"/>
    <row r="595" ht="15.75" customHeight="1" s="177"/>
    <row r="596" ht="15.75" customHeight="1" s="177"/>
    <row r="597" ht="15.75" customHeight="1" s="177"/>
    <row r="598" ht="15.75" customHeight="1" s="177"/>
    <row r="599" ht="15.75" customHeight="1" s="177"/>
    <row r="600" ht="15.75" customHeight="1" s="177"/>
    <row r="601" ht="15.75" customHeight="1" s="177"/>
    <row r="602" ht="15.75" customHeight="1" s="177"/>
    <row r="603" ht="15.75" customHeight="1" s="177"/>
    <row r="604" ht="15.75" customHeight="1" s="177"/>
    <row r="605" ht="15.75" customHeight="1" s="177"/>
    <row r="606" ht="15.75" customHeight="1" s="177"/>
    <row r="607" ht="15.75" customHeight="1" s="177"/>
    <row r="608" ht="15.75" customHeight="1" s="177"/>
    <row r="609" ht="15.75" customHeight="1" s="177"/>
    <row r="610" ht="15.75" customHeight="1" s="177"/>
    <row r="611" ht="15.75" customHeight="1" s="177"/>
    <row r="612" ht="15.75" customHeight="1" s="177"/>
    <row r="613" ht="15.75" customHeight="1" s="177"/>
    <row r="614" ht="15.75" customHeight="1" s="177"/>
    <row r="615" ht="15.75" customHeight="1" s="177"/>
    <row r="616" ht="15.75" customHeight="1" s="177"/>
    <row r="617" ht="15.75" customHeight="1" s="177"/>
    <row r="618" ht="15.75" customHeight="1" s="177"/>
    <row r="619" ht="15.75" customHeight="1" s="177"/>
    <row r="620" ht="15.75" customHeight="1" s="177"/>
    <row r="621" ht="15.75" customHeight="1" s="177"/>
    <row r="622" ht="15.75" customHeight="1" s="177"/>
    <row r="623" ht="15.75" customHeight="1" s="177"/>
    <row r="624" ht="15.75" customHeight="1" s="177"/>
    <row r="625" ht="15.75" customHeight="1" s="177"/>
    <row r="626" ht="15.75" customHeight="1" s="177"/>
    <row r="627" ht="15.75" customHeight="1" s="177"/>
    <row r="628" ht="15.75" customHeight="1" s="177"/>
    <row r="629" ht="15.75" customHeight="1" s="177"/>
    <row r="630" ht="15.75" customHeight="1" s="177"/>
    <row r="631" ht="15.75" customHeight="1" s="177"/>
    <row r="632" ht="15.75" customHeight="1" s="177"/>
    <row r="633" ht="15.75" customHeight="1" s="177"/>
    <row r="634" ht="15.75" customHeight="1" s="177"/>
    <row r="635" ht="15.75" customHeight="1" s="177"/>
    <row r="636" ht="15.75" customHeight="1" s="177"/>
    <row r="637" ht="15.75" customHeight="1" s="177"/>
    <row r="638" ht="15.75" customHeight="1" s="177"/>
    <row r="639" ht="15.75" customHeight="1" s="177"/>
    <row r="640" ht="15.75" customHeight="1" s="177"/>
    <row r="641" ht="15.75" customHeight="1" s="177"/>
    <row r="642" ht="15.75" customHeight="1" s="177"/>
    <row r="643" ht="15.75" customHeight="1" s="177"/>
    <row r="644" ht="15.75" customHeight="1" s="177"/>
    <row r="645" ht="15.75" customHeight="1" s="177"/>
    <row r="646" ht="15.75" customHeight="1" s="177"/>
    <row r="647" ht="15.75" customHeight="1" s="177"/>
    <row r="648" ht="15.75" customHeight="1" s="177"/>
    <row r="649" ht="15.75" customHeight="1" s="177"/>
    <row r="650" ht="15.75" customHeight="1" s="177"/>
    <row r="651" ht="15.75" customHeight="1" s="177"/>
    <row r="652" ht="15.75" customHeight="1" s="177"/>
    <row r="653" ht="15.75" customHeight="1" s="177"/>
    <row r="654" ht="15.75" customHeight="1" s="177"/>
    <row r="655" ht="15.75" customHeight="1" s="177"/>
    <row r="656" ht="15.75" customHeight="1" s="177"/>
    <row r="657" ht="15.75" customHeight="1" s="177"/>
    <row r="658" ht="15.75" customHeight="1" s="177"/>
    <row r="659" ht="15.75" customHeight="1" s="177"/>
    <row r="660" ht="15.75" customHeight="1" s="177"/>
    <row r="661" ht="15.75" customHeight="1" s="177"/>
    <row r="662" ht="15.75" customHeight="1" s="177"/>
    <row r="663" ht="15.75" customHeight="1" s="177"/>
    <row r="664" ht="15.75" customHeight="1" s="177"/>
    <row r="665" ht="15.75" customHeight="1" s="177"/>
    <row r="666" ht="15.75" customHeight="1" s="177"/>
    <row r="667" ht="15.75" customHeight="1" s="177"/>
    <row r="668" ht="15.75" customHeight="1" s="177"/>
    <row r="669" ht="15.75" customHeight="1" s="177"/>
    <row r="670" ht="15.75" customHeight="1" s="177"/>
    <row r="671" ht="15.75" customHeight="1" s="177"/>
    <row r="672" ht="15.75" customHeight="1" s="177"/>
    <row r="673" ht="15.75" customHeight="1" s="177"/>
    <row r="674" ht="15.75" customHeight="1" s="177"/>
    <row r="675" ht="15.75" customHeight="1" s="177"/>
    <row r="676" ht="15.75" customHeight="1" s="177"/>
    <row r="677" ht="15.75" customHeight="1" s="177"/>
    <row r="678" ht="15.75" customHeight="1" s="177"/>
    <row r="679" ht="15.75" customHeight="1" s="177"/>
    <row r="680" ht="15.75" customHeight="1" s="177"/>
    <row r="681" ht="15.75" customHeight="1" s="177"/>
    <row r="682" ht="15.75" customHeight="1" s="177"/>
    <row r="683" ht="15.75" customHeight="1" s="177"/>
    <row r="684" ht="15.75" customHeight="1" s="177"/>
    <row r="685" ht="15.75" customHeight="1" s="177"/>
    <row r="686" ht="15.75" customHeight="1" s="177"/>
    <row r="687" ht="15.75" customHeight="1" s="177"/>
    <row r="688" ht="15.75" customHeight="1" s="177"/>
    <row r="689" ht="15.75" customHeight="1" s="177"/>
    <row r="690" ht="15.75" customHeight="1" s="177"/>
    <row r="691" ht="15.75" customHeight="1" s="177"/>
    <row r="692" ht="15.75" customHeight="1" s="177"/>
    <row r="693" ht="15.75" customHeight="1" s="177"/>
    <row r="694" ht="15.75" customHeight="1" s="177"/>
    <row r="695" ht="15.75" customHeight="1" s="177"/>
    <row r="696" ht="15.75" customHeight="1" s="177"/>
    <row r="697" ht="15.75" customHeight="1" s="177"/>
    <row r="698" ht="15.75" customHeight="1" s="177"/>
    <row r="699" ht="15.75" customHeight="1" s="177"/>
    <row r="700" ht="15.75" customHeight="1" s="177"/>
    <row r="701" ht="15.75" customHeight="1" s="177"/>
    <row r="702" ht="15.75" customHeight="1" s="177"/>
    <row r="703" ht="15.75" customHeight="1" s="177"/>
    <row r="704" ht="15.75" customHeight="1" s="177"/>
    <row r="705" ht="15.75" customHeight="1" s="177"/>
    <row r="706" ht="15.75" customHeight="1" s="177"/>
    <row r="707" ht="15.75" customHeight="1" s="177"/>
    <row r="708" ht="15.75" customHeight="1" s="177"/>
    <row r="709" ht="15.75" customHeight="1" s="177"/>
    <row r="710" ht="15.75" customHeight="1" s="177"/>
    <row r="711" ht="15.75" customHeight="1" s="177"/>
    <row r="712" ht="15.75" customHeight="1" s="177"/>
    <row r="713" ht="15.75" customHeight="1" s="177"/>
    <row r="714" ht="15.75" customHeight="1" s="177"/>
    <row r="715" ht="15.75" customHeight="1" s="177"/>
    <row r="716" ht="15.75" customHeight="1" s="177"/>
    <row r="717" ht="15.75" customHeight="1" s="177"/>
    <row r="718" ht="15.75" customHeight="1" s="177"/>
    <row r="719" ht="15.75" customHeight="1" s="177"/>
    <row r="720" ht="15.75" customHeight="1" s="177"/>
    <row r="721" ht="15.75" customHeight="1" s="177"/>
    <row r="722" ht="15.75" customHeight="1" s="177"/>
    <row r="723" ht="15.75" customHeight="1" s="177"/>
    <row r="724" ht="15.75" customHeight="1" s="177"/>
    <row r="725" ht="15.75" customHeight="1" s="177"/>
    <row r="726" ht="15.75" customHeight="1" s="177"/>
    <row r="727" ht="15.75" customHeight="1" s="177"/>
    <row r="728" ht="15.75" customHeight="1" s="177"/>
    <row r="729" ht="15.75" customHeight="1" s="177"/>
    <row r="730" ht="15.75" customHeight="1" s="177"/>
    <row r="731" ht="15.75" customHeight="1" s="177"/>
    <row r="732" ht="15.75" customHeight="1" s="177"/>
    <row r="733" ht="15.75" customHeight="1" s="177"/>
    <row r="734" ht="15.75" customHeight="1" s="177"/>
    <row r="735" ht="15.75" customHeight="1" s="177"/>
    <row r="736" ht="15.75" customHeight="1" s="177"/>
    <row r="737" ht="15.75" customHeight="1" s="177"/>
    <row r="738" ht="15.75" customHeight="1" s="177"/>
    <row r="739" ht="15.75" customHeight="1" s="177"/>
    <row r="740" ht="15.75" customHeight="1" s="177"/>
    <row r="741" ht="15.75" customHeight="1" s="177"/>
    <row r="742" ht="15.75" customHeight="1" s="177"/>
    <row r="743" ht="15.75" customHeight="1" s="177"/>
    <row r="744" ht="15.75" customHeight="1" s="177"/>
    <row r="745" ht="15.75" customHeight="1" s="177"/>
    <row r="746" ht="15.75" customHeight="1" s="177"/>
    <row r="747" ht="15.75" customHeight="1" s="177"/>
    <row r="748" ht="15.75" customHeight="1" s="177"/>
    <row r="749" ht="15.75" customHeight="1" s="177"/>
    <row r="750" ht="15.75" customHeight="1" s="177"/>
    <row r="751" ht="15.75" customHeight="1" s="177"/>
    <row r="752" ht="15.75" customHeight="1" s="177"/>
    <row r="753" ht="15.75" customHeight="1" s="177"/>
    <row r="754" ht="15.75" customHeight="1" s="177"/>
    <row r="755" ht="15.75" customHeight="1" s="177"/>
    <row r="756" ht="15.75" customHeight="1" s="177"/>
    <row r="757" ht="15.75" customHeight="1" s="177"/>
    <row r="758" ht="15.75" customHeight="1" s="177"/>
    <row r="759" ht="15.75" customHeight="1" s="177"/>
    <row r="760" ht="15.75" customHeight="1" s="177"/>
    <row r="761" ht="15.75" customHeight="1" s="177"/>
    <row r="762" ht="15.75" customHeight="1" s="177"/>
    <row r="763" ht="15.75" customHeight="1" s="177"/>
    <row r="764" ht="15.75" customHeight="1" s="177"/>
    <row r="765" ht="15.75" customHeight="1" s="177"/>
    <row r="766" ht="15.75" customHeight="1" s="177"/>
    <row r="767" ht="15.75" customHeight="1" s="177"/>
    <row r="768" ht="15.75" customHeight="1" s="177"/>
    <row r="769" ht="15.75" customHeight="1" s="177"/>
    <row r="770" ht="15.75" customHeight="1" s="177"/>
    <row r="771" ht="15.75" customHeight="1" s="177"/>
    <row r="772" ht="15.75" customHeight="1" s="177"/>
    <row r="773" ht="15.75" customHeight="1" s="177"/>
    <row r="774" ht="15.75" customHeight="1" s="177"/>
    <row r="775" ht="15.75" customHeight="1" s="177"/>
    <row r="776" ht="15.75" customHeight="1" s="177"/>
    <row r="777" ht="15.75" customHeight="1" s="177"/>
    <row r="778" ht="15.75" customHeight="1" s="177"/>
    <row r="779" ht="15.75" customHeight="1" s="177"/>
    <row r="780" ht="15.75" customHeight="1" s="177"/>
    <row r="781" ht="15.75" customHeight="1" s="177"/>
    <row r="782" ht="15.75" customHeight="1" s="177"/>
    <row r="783" ht="15.75" customHeight="1" s="177"/>
    <row r="784" ht="15.75" customHeight="1" s="177"/>
    <row r="785" ht="15.75" customHeight="1" s="177"/>
    <row r="786" ht="15.75" customHeight="1" s="177"/>
    <row r="787" ht="15.75" customHeight="1" s="177"/>
    <row r="788" ht="15.75" customHeight="1" s="177"/>
    <row r="789" ht="15.75" customHeight="1" s="177"/>
    <row r="790" ht="15.75" customHeight="1" s="177"/>
    <row r="791" ht="15.75" customHeight="1" s="177"/>
    <row r="792" ht="15.75" customHeight="1" s="177"/>
    <row r="793" ht="15.75" customHeight="1" s="177"/>
    <row r="794" ht="15.75" customHeight="1" s="177"/>
    <row r="795" ht="15.75" customHeight="1" s="177"/>
    <row r="796" ht="15.75" customHeight="1" s="177"/>
    <row r="797" ht="15.75" customHeight="1" s="177"/>
    <row r="798" ht="15.75" customHeight="1" s="177"/>
    <row r="799" ht="15.75" customHeight="1" s="177"/>
    <row r="800" ht="15.75" customHeight="1" s="177"/>
    <row r="801" ht="15.75" customHeight="1" s="177"/>
    <row r="802" ht="15.75" customHeight="1" s="177"/>
    <row r="803" ht="15.75" customHeight="1" s="177"/>
    <row r="804" ht="15.75" customHeight="1" s="177"/>
    <row r="805" ht="15.75" customHeight="1" s="177"/>
    <row r="806" ht="15.75" customHeight="1" s="177"/>
    <row r="807" ht="15.75" customHeight="1" s="177"/>
    <row r="808" ht="15.75" customHeight="1" s="177"/>
    <row r="809" ht="15.75" customHeight="1" s="177"/>
    <row r="810" ht="15.75" customHeight="1" s="177"/>
    <row r="811" ht="15.75" customHeight="1" s="177"/>
    <row r="812" ht="15.75" customHeight="1" s="177"/>
    <row r="813" ht="15.75" customHeight="1" s="177"/>
    <row r="814" ht="15.75" customHeight="1" s="177"/>
    <row r="815" ht="15.75" customHeight="1" s="177"/>
    <row r="816" ht="15.75" customHeight="1" s="177"/>
    <row r="817" ht="15.75" customHeight="1" s="177"/>
    <row r="818" ht="15.75" customHeight="1" s="177"/>
    <row r="819" ht="15.75" customHeight="1" s="177"/>
    <row r="820" ht="15.75" customHeight="1" s="177"/>
    <row r="821" ht="15.75" customHeight="1" s="177"/>
    <row r="822" ht="15.75" customHeight="1" s="177"/>
    <row r="823" ht="15.75" customHeight="1" s="177"/>
    <row r="824" ht="15.75" customHeight="1" s="177"/>
    <row r="825" ht="15.75" customHeight="1" s="177"/>
    <row r="826" ht="15.75" customHeight="1" s="177"/>
    <row r="827" ht="15.75" customHeight="1" s="177"/>
    <row r="828" ht="15.75" customHeight="1" s="177"/>
    <row r="829" ht="15.75" customHeight="1" s="177"/>
    <row r="830" ht="15.75" customHeight="1" s="177"/>
    <row r="831" ht="15.75" customHeight="1" s="177"/>
    <row r="832" ht="15.75" customHeight="1" s="177"/>
    <row r="833" ht="15.75" customHeight="1" s="177"/>
    <row r="834" ht="15.75" customHeight="1" s="177"/>
    <row r="835" ht="15.75" customHeight="1" s="177"/>
    <row r="836" ht="15.75" customHeight="1" s="177"/>
    <row r="837" ht="15.75" customHeight="1" s="177"/>
    <row r="838" ht="15.75" customHeight="1" s="177"/>
    <row r="839" ht="15.75" customHeight="1" s="177"/>
    <row r="840" ht="15.75" customHeight="1" s="177"/>
    <row r="841" ht="15.75" customHeight="1" s="177"/>
    <row r="842" ht="15.75" customHeight="1" s="177"/>
    <row r="843" ht="15.75" customHeight="1" s="177"/>
    <row r="844" ht="15.75" customHeight="1" s="177"/>
    <row r="845" ht="15.75" customHeight="1" s="177"/>
    <row r="846" ht="15.75" customHeight="1" s="177"/>
    <row r="847" ht="15.75" customHeight="1" s="177"/>
    <row r="848" ht="15.75" customHeight="1" s="177"/>
    <row r="849" ht="15.75" customHeight="1" s="177"/>
    <row r="850" ht="15.75" customHeight="1" s="177"/>
    <row r="851" ht="15.75" customHeight="1" s="177"/>
    <row r="852" ht="15.75" customHeight="1" s="177"/>
    <row r="853" ht="15.75" customHeight="1" s="177"/>
    <row r="854" ht="15.75" customHeight="1" s="177"/>
    <row r="855" ht="15.75" customHeight="1" s="177"/>
    <row r="856" ht="15.75" customHeight="1" s="177"/>
    <row r="857" ht="15.75" customHeight="1" s="177"/>
    <row r="858" ht="15.75" customHeight="1" s="177"/>
    <row r="859" ht="15.75" customHeight="1" s="177"/>
    <row r="860" ht="15.75" customHeight="1" s="177"/>
    <row r="861" ht="15.75" customHeight="1" s="177"/>
    <row r="862" ht="15.75" customHeight="1" s="177"/>
    <row r="863" ht="15.75" customHeight="1" s="177"/>
    <row r="864" ht="15.75" customHeight="1" s="177"/>
    <row r="865" ht="15.75" customHeight="1" s="177"/>
    <row r="866" ht="15.75" customHeight="1" s="177"/>
    <row r="867" ht="15.75" customHeight="1" s="177"/>
    <row r="868" ht="15.75" customHeight="1" s="177"/>
    <row r="869" ht="15.75" customHeight="1" s="177"/>
    <row r="870" ht="15.75" customHeight="1" s="177"/>
    <row r="871" ht="15.75" customHeight="1" s="177"/>
    <row r="872" ht="15.75" customHeight="1" s="177"/>
    <row r="873" ht="15.75" customHeight="1" s="177"/>
    <row r="874" ht="15.75" customHeight="1" s="177"/>
    <row r="875" ht="15.75" customHeight="1" s="177"/>
    <row r="876" ht="15.75" customHeight="1" s="177"/>
    <row r="877" ht="15.75" customHeight="1" s="177"/>
    <row r="878" ht="15.75" customHeight="1" s="177"/>
    <row r="879" ht="15.75" customHeight="1" s="177"/>
    <row r="880" ht="15.75" customHeight="1" s="177"/>
    <row r="881" ht="15.75" customHeight="1" s="177"/>
    <row r="882" ht="15.75" customHeight="1" s="177"/>
    <row r="883" ht="15.75" customHeight="1" s="177"/>
    <row r="884" ht="15.75" customHeight="1" s="177"/>
    <row r="885" ht="15.75" customHeight="1" s="177"/>
    <row r="886" ht="15.75" customHeight="1" s="177"/>
    <row r="887" ht="15.75" customHeight="1" s="177"/>
    <row r="888" ht="15.75" customHeight="1" s="177"/>
    <row r="889" ht="15.75" customHeight="1" s="177"/>
    <row r="890" ht="15.75" customHeight="1" s="177"/>
    <row r="891" ht="15.75" customHeight="1" s="177"/>
    <row r="892" ht="15.75" customHeight="1" s="177"/>
    <row r="893" ht="15.75" customHeight="1" s="177"/>
    <row r="894" ht="15.75" customHeight="1" s="177"/>
    <row r="895" ht="15.75" customHeight="1" s="177"/>
    <row r="896" ht="15.75" customHeight="1" s="177"/>
    <row r="897" ht="15.75" customHeight="1" s="177"/>
    <row r="898" ht="15.75" customHeight="1" s="177"/>
    <row r="899" ht="15.75" customHeight="1" s="177"/>
    <row r="900" ht="15.75" customHeight="1" s="177"/>
    <row r="901" ht="15.75" customHeight="1" s="177"/>
    <row r="902" ht="15.75" customHeight="1" s="177"/>
    <row r="903" ht="15.75" customHeight="1" s="177"/>
    <row r="904" ht="15.75" customHeight="1" s="177"/>
    <row r="905" ht="15.75" customHeight="1" s="177"/>
    <row r="906" ht="15.75" customHeight="1" s="177"/>
    <row r="907" ht="15.75" customHeight="1" s="177"/>
    <row r="908" ht="15.75" customHeight="1" s="177"/>
    <row r="909" ht="15.75" customHeight="1" s="177"/>
    <row r="910" ht="15.75" customHeight="1" s="177"/>
    <row r="911" ht="15.75" customHeight="1" s="177"/>
    <row r="912" ht="15.75" customHeight="1" s="177"/>
    <row r="913" ht="15.75" customHeight="1" s="177"/>
    <row r="914" ht="15.75" customHeight="1" s="177"/>
    <row r="915" ht="15.75" customHeight="1" s="177"/>
    <row r="916" ht="15.75" customHeight="1" s="177"/>
    <row r="917" ht="15.75" customHeight="1" s="177"/>
    <row r="918" ht="15.75" customHeight="1" s="177"/>
    <row r="919" ht="15.75" customHeight="1" s="177"/>
    <row r="920" ht="15.75" customHeight="1" s="177"/>
    <row r="921" ht="15.75" customHeight="1" s="177"/>
    <row r="922" ht="15.75" customHeight="1" s="177"/>
    <row r="923" ht="15.75" customHeight="1" s="177"/>
    <row r="924" ht="15.75" customHeight="1" s="177"/>
    <row r="925" ht="15.75" customHeight="1" s="177"/>
    <row r="926" ht="15.75" customHeight="1" s="177"/>
    <row r="927" ht="15.75" customHeight="1" s="177"/>
    <row r="928" ht="15.75" customHeight="1" s="177"/>
    <row r="929" ht="15.75" customHeight="1" s="177"/>
    <row r="930" ht="15.75" customHeight="1" s="177"/>
    <row r="931" ht="15.75" customHeight="1" s="177"/>
    <row r="932" ht="15.75" customHeight="1" s="177"/>
    <row r="933" ht="15.75" customHeight="1" s="177"/>
    <row r="934" ht="15.75" customHeight="1" s="177"/>
    <row r="935" ht="15.75" customHeight="1" s="177"/>
    <row r="936" ht="15.75" customHeight="1" s="177"/>
    <row r="937" ht="15.75" customHeight="1" s="177"/>
    <row r="938" ht="15.75" customHeight="1" s="177"/>
    <row r="939" ht="15.75" customHeight="1" s="177"/>
    <row r="940" ht="15.75" customHeight="1" s="177"/>
    <row r="941" ht="15.75" customHeight="1" s="177"/>
    <row r="942" ht="15.75" customHeight="1" s="177"/>
    <row r="943" ht="15.75" customHeight="1" s="177"/>
    <row r="944" ht="15.75" customHeight="1" s="177"/>
    <row r="945" ht="15.75" customHeight="1" s="177"/>
    <row r="946" ht="15.75" customHeight="1" s="177"/>
    <row r="947" ht="15.75" customHeight="1" s="177"/>
    <row r="948" ht="15.75" customHeight="1" s="177"/>
    <row r="949" ht="15.75" customHeight="1" s="177"/>
    <row r="950" ht="15.75" customHeight="1" s="177"/>
    <row r="951" ht="15.75" customHeight="1" s="177"/>
    <row r="952" ht="15.75" customHeight="1" s="177"/>
    <row r="953" ht="15.75" customHeight="1" s="177"/>
    <row r="954" ht="15.75" customHeight="1" s="177"/>
    <row r="955" ht="15.75" customHeight="1" s="177"/>
    <row r="956" ht="15.75" customHeight="1" s="177"/>
    <row r="957" ht="15.75" customHeight="1" s="177"/>
    <row r="958" ht="15.75" customHeight="1" s="177"/>
    <row r="959" ht="15.75" customHeight="1" s="177"/>
    <row r="960" ht="15.75" customHeight="1" s="177"/>
    <row r="961" ht="15.75" customHeight="1" s="177"/>
    <row r="962" ht="15.75" customHeight="1" s="177"/>
    <row r="963" ht="15.75" customHeight="1" s="177"/>
    <row r="964" ht="15.75" customHeight="1" s="177"/>
    <row r="965" ht="15.75" customHeight="1" s="177"/>
    <row r="966" ht="15.75" customHeight="1" s="177"/>
    <row r="967" ht="15.75" customHeight="1" s="177"/>
    <row r="968" ht="15.75" customHeight="1" s="177"/>
    <row r="969" ht="15.75" customHeight="1" s="177"/>
    <row r="970" ht="15.75" customHeight="1" s="177"/>
    <row r="971" ht="15.75" customHeight="1" s="177"/>
    <row r="972" ht="15.75" customHeight="1" s="177"/>
    <row r="973" ht="15.75" customHeight="1" s="177"/>
    <row r="974" ht="15.75" customHeight="1" s="177"/>
    <row r="975" ht="15.75" customHeight="1" s="177"/>
    <row r="976" ht="15.75" customHeight="1" s="177"/>
    <row r="977" ht="15.75" customHeight="1" s="177"/>
    <row r="978" ht="15.75" customHeight="1" s="177"/>
    <row r="979" ht="15.75" customHeight="1" s="177"/>
    <row r="980" ht="15.75" customHeight="1" s="177"/>
    <row r="981" ht="15.75" customHeight="1" s="177"/>
    <row r="982" ht="15.75" customHeight="1" s="177"/>
    <row r="983" ht="15.75" customHeight="1" s="177"/>
    <row r="984" ht="15.75" customHeight="1" s="177"/>
    <row r="985" ht="15.75" customHeight="1" s="177"/>
    <row r="986" ht="15.75" customHeight="1" s="177"/>
    <row r="987" ht="15.75" customHeight="1" s="177"/>
    <row r="988" ht="15.75" customHeight="1" s="177"/>
    <row r="989" ht="15.75" customHeight="1" s="177"/>
    <row r="990" ht="15.75" customHeight="1" s="177"/>
    <row r="991" ht="15.75" customHeight="1" s="177"/>
    <row r="992" ht="15.75" customHeight="1" s="177"/>
    <row r="993" ht="15.75" customHeight="1" s="177"/>
    <row r="994" ht="15.75" customHeight="1" s="177"/>
    <row r="995" ht="15.75" customHeight="1" s="177"/>
    <row r="996" ht="15.75" customHeight="1" s="177"/>
    <row r="997" ht="15.75" customHeight="1" s="177"/>
  </sheetData>
  <mergeCells count="3">
    <mergeCell ref="B2:I3"/>
    <mergeCell ref="B4:I4"/>
    <mergeCell ref="B15:I15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64748B"/>
    <outlinePr summaryBelow="1" summaryRight="1"/>
    <pageSetUpPr/>
  </sheetPr>
  <dimension ref="B2:I21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4.43" defaultRowHeight="15" customHeight="1"/>
  <cols>
    <col width="2" customWidth="1" style="177" min="1" max="1"/>
    <col width="5" customWidth="1" style="177" min="2" max="2"/>
    <col width="22" customWidth="1" style="177" min="3" max="3"/>
    <col width="32" customWidth="1" style="177" min="4" max="4"/>
    <col width="35" customWidth="1" style="177" min="5" max="5"/>
    <col width="12" customWidth="1" style="177" min="6" max="6"/>
    <col width="28" customWidth="1" style="177" min="7" max="7"/>
    <col width="8.710000000000001" customWidth="1" style="177" min="8" max="26"/>
  </cols>
  <sheetData>
    <row r="2">
      <c r="B2" s="253" t="inlineStr">
        <is>
          <t>RESOURCES &amp; LINKS</t>
        </is>
      </c>
    </row>
    <row r="3"/>
    <row r="4">
      <c r="B4" s="254" t="inlineStr">
        <is>
          <t>Repo, desain, sumber data, dan referensi perhitungan — jaga tetap terbaru</t>
        </is>
      </c>
    </row>
    <row r="6" ht="24" customHeight="1" s="177">
      <c r="B6" s="152" t="inlineStr">
        <is>
          <t>#</t>
        </is>
      </c>
      <c r="C6" s="152" t="inlineStr">
        <is>
          <t>Category</t>
        </is>
      </c>
      <c r="D6" s="152" t="inlineStr">
        <is>
          <t>Name</t>
        </is>
      </c>
      <c r="E6" s="152" t="inlineStr">
        <is>
          <t>URL / Link</t>
        </is>
      </c>
      <c r="F6" s="152" t="inlineStr">
        <is>
          <t>PIC</t>
        </is>
      </c>
      <c r="G6" s="152" t="inlineStr">
        <is>
          <t>Notes</t>
        </is>
      </c>
    </row>
    <row r="7" ht="24" customHeight="1" s="177">
      <c r="B7" s="153" t="n">
        <v>1</v>
      </c>
      <c r="C7" s="154" t="inlineStr">
        <is>
          <t>Code Repository</t>
        </is>
      </c>
      <c r="D7" s="175" t="inlineStr">
        <is>
          <t>GitHub — 22_SunCost</t>
        </is>
      </c>
      <c r="E7" s="156" t="inlineStr">
        <is>
          <t>https://github.com/Yeypayeyy/22_SunCost</t>
        </is>
      </c>
      <c r="F7" s="157" t="inlineStr">
        <is>
          <t>Farrel</t>
        </is>
      </c>
      <c r="G7" s="175" t="inlineStr">
        <is>
          <t>Repo utama, branch per anggota</t>
        </is>
      </c>
    </row>
    <row r="8" ht="24" customHeight="1" s="177">
      <c r="B8" s="158" t="n">
        <v>2</v>
      </c>
      <c r="C8" s="159" t="inlineStr">
        <is>
          <t>Design</t>
        </is>
      </c>
      <c r="D8" s="163" t="inlineStr">
        <is>
          <t>Figma — mockup 5 layar</t>
        </is>
      </c>
      <c r="E8" s="161" t="inlineStr">
        <is>
          <t>https://www.figma.com/design/eZ7u3wVkggATG2xYOc4SmW/</t>
        </is>
      </c>
      <c r="F8" s="162" t="inlineStr">
        <is>
          <t>Farrel</t>
        </is>
      </c>
      <c r="G8" s="163" t="inlineStr">
        <is>
          <t>Beranda, Input, Hasil x2, Riwayat</t>
        </is>
      </c>
    </row>
    <row r="9" ht="24" customHeight="1" s="177">
      <c r="B9" s="158" t="n">
        <v>3</v>
      </c>
      <c r="C9" s="159" t="inlineStr">
        <is>
          <t>Data Cuaca</t>
        </is>
      </c>
      <c r="D9" s="163" t="inlineStr">
        <is>
          <t>Open-Meteo API</t>
        </is>
      </c>
      <c r="E9" s="165" t="inlineStr">
        <is>
          <t>https://open-meteo.com/en/docs</t>
        </is>
      </c>
      <c r="F9" s="162" t="inlineStr">
        <is>
          <t>Sri</t>
        </is>
      </c>
      <c r="G9" s="163" t="inlineStr">
        <is>
          <t>Gratis, tanpa API key</t>
        </is>
      </c>
    </row>
    <row r="10" ht="24" customHeight="1" s="177">
      <c r="B10" s="158" t="n">
        <v>4</v>
      </c>
      <c r="C10" s="159" t="inlineStr">
        <is>
          <t>Referensi</t>
        </is>
      </c>
      <c r="D10" s="163" t="inlineStr">
        <is>
          <t>PVGIS — pembanding hasil perhitungan</t>
        </is>
      </c>
      <c r="E10" s="165" t="inlineStr">
        <is>
          <t>https://re.jrc.ec.europa.eu/pvg_tools/en/</t>
        </is>
      </c>
      <c r="F10" s="162" t="inlineStr">
        <is>
          <t>Sri</t>
        </is>
      </c>
      <c r="G10" s="163" t="inlineStr">
        <is>
          <t>Dipakai untuk validasi S2.8</t>
        </is>
      </c>
    </row>
    <row r="11" ht="24" customHeight="1" s="177">
      <c r="B11" s="158" t="n">
        <v>5</v>
      </c>
      <c r="C11" s="159" t="inlineStr">
        <is>
          <t>Referensi</t>
        </is>
      </c>
      <c r="D11" s="163" t="inlineStr">
        <is>
          <t>NREL PVWatts</t>
        </is>
      </c>
      <c r="E11" s="165" t="inlineStr">
        <is>
          <t>https://pvwatts.nrel.gov/</t>
        </is>
      </c>
      <c r="F11" s="162" t="inlineStr">
        <is>
          <t>Sri</t>
        </is>
      </c>
      <c r="G11" s="163" t="inlineStr">
        <is>
          <t>Rujukan metode perhitungan PV</t>
        </is>
      </c>
    </row>
    <row r="12" ht="24" customHeight="1" s="177">
      <c r="B12" s="153" t="n">
        <v>6</v>
      </c>
      <c r="C12" s="154" t="inlineStr">
        <is>
          <t>Library</t>
        </is>
      </c>
      <c r="D12" s="175" t="inlineStr">
        <is>
          <t>Microsoft.Data.Sqlite</t>
        </is>
      </c>
      <c r="E12" s="175" t="inlineStr">
        <is>
          <t>https://learn.microsoft.com/dotnet/standard/data/sqlite/</t>
        </is>
      </c>
      <c r="F12" s="157" t="inlineStr">
        <is>
          <t>Sri</t>
        </is>
      </c>
      <c r="G12" s="175" t="inlineStr">
        <is>
          <t>Akses basis data lokal</t>
        </is>
      </c>
    </row>
    <row r="13" ht="24" customHeight="1" s="177">
      <c r="B13" s="158" t="n">
        <v>7</v>
      </c>
      <c r="C13" s="159" t="inlineStr">
        <is>
          <t>Tarif</t>
        </is>
      </c>
      <c r="D13" s="163" t="inlineStr">
        <is>
          <t>Tarif tenaga listrik PLN</t>
        </is>
      </c>
      <c r="E13" s="163" t="inlineStr">
        <is>
          <t>https://web.pln.co.id/pelanggan/tarif-tenaga-listrik</t>
        </is>
      </c>
      <c r="F13" s="162" t="inlineStr">
        <is>
          <t>Sri</t>
        </is>
      </c>
      <c r="G13" s="163" t="inlineStr">
        <is>
          <t>Perlu diverifikasi tiap triwulan</t>
        </is>
      </c>
    </row>
    <row r="14" ht="24" customHeight="1" s="177">
      <c r="B14" s="153" t="n">
        <v>8</v>
      </c>
      <c r="C14" s="154" t="inlineStr">
        <is>
          <t>Referensi</t>
        </is>
      </c>
      <c r="D14" s="175" t="inlineStr">
        <is>
          <t>Faktor emisi jaringan listrik (grid emission factor)</t>
        </is>
      </c>
      <c r="E14" s="156" t="inlineStr">
        <is>
          <t>https://gatrik.esdm.go.id/</t>
        </is>
      </c>
      <c r="F14" s="157" t="inlineStr">
        <is>
          <t>Sri</t>
        </is>
      </c>
      <c r="G14" s="175" t="inlineStr">
        <is>
          <t>Untuk perhitungan CO2 dihindari</t>
        </is>
      </c>
    </row>
    <row r="15" ht="24" customHeight="1" s="177">
      <c r="B15" s="158" t="n">
        <v>9</v>
      </c>
      <c r="C15" s="159" t="inlineStr">
        <is>
          <t>Dokumentasi</t>
        </is>
      </c>
      <c r="D15" s="163" t="inlineStr">
        <is>
          <t>Panduan WPF / .NET 8</t>
        </is>
      </c>
      <c r="E15" s="163" t="inlineStr">
        <is>
          <t>https://learn.microsoft.com/dotnet/desktop/wpf/</t>
        </is>
      </c>
      <c r="F15" s="162" t="inlineStr">
        <is>
          <t>Mayra</t>
        </is>
      </c>
      <c r="G15" s="163" t="inlineStr">
        <is>
          <t>Referensi XAML &amp; data binding</t>
        </is>
      </c>
      <c r="I15" s="176" t="inlineStr">
        <is>
          <t>&lt;- contoh</t>
        </is>
      </c>
    </row>
    <row r="16" ht="24" customHeight="1" s="177">
      <c r="B16" s="153" t="n">
        <v>10</v>
      </c>
      <c r="C16" s="154" t="inlineStr">
        <is>
          <t>Project Management</t>
        </is>
      </c>
      <c r="D16" s="175" t="inlineStr">
        <is>
          <t>Sprint tracker (berkas ini)</t>
        </is>
      </c>
      <c r="E16" s="175" t="inlineStr">
        <is>
          <t>SunCost_Sprint_Tracker.xlsx</t>
        </is>
      </c>
      <c r="F16" s="157" t="inlineStr">
        <is>
          <t>Farrel</t>
        </is>
      </c>
      <c r="G16" s="175" t="inlineStr">
        <is>
          <t>Ada di root repo</t>
        </is>
      </c>
    </row>
    <row r="17" ht="24" customHeight="1" s="177">
      <c r="B17" s="158" t="n"/>
      <c r="C17" s="159" t="n"/>
      <c r="D17" s="163" t="n"/>
      <c r="E17" s="163" t="n"/>
      <c r="F17" s="162" t="n"/>
      <c r="G17" s="163" t="n"/>
    </row>
    <row r="18" ht="24" customHeight="1" s="177">
      <c r="B18" s="153" t="n"/>
      <c r="C18" s="154" t="n"/>
      <c r="D18" s="175" t="n"/>
      <c r="E18" s="175" t="n"/>
      <c r="F18" s="157" t="n"/>
      <c r="G18" s="175" t="n"/>
    </row>
    <row r="19" ht="24" customHeight="1" s="177">
      <c r="B19" s="158" t="n"/>
      <c r="C19" s="159" t="n"/>
      <c r="D19" s="163" t="n"/>
      <c r="E19" s="163" t="n"/>
      <c r="F19" s="162" t="n"/>
      <c r="G19" s="163" t="n"/>
    </row>
    <row r="20" ht="24" customHeight="1" s="177">
      <c r="B20" s="153" t="n"/>
      <c r="C20" s="154" t="n"/>
      <c r="D20" s="175" t="n"/>
      <c r="E20" s="175" t="n"/>
      <c r="F20" s="157" t="n"/>
      <c r="G20" s="175" t="n"/>
    </row>
    <row r="21" ht="15.75" customHeight="1" s="177">
      <c r="B21" s="158" t="n"/>
      <c r="C21" s="159" t="n"/>
      <c r="D21" s="163" t="n"/>
      <c r="E21" s="163" t="n"/>
      <c r="F21" s="162" t="n"/>
      <c r="G21" s="163" t="n"/>
    </row>
    <row r="22" ht="15.75" customHeight="1" s="177"/>
    <row r="23" ht="15.75" customHeight="1" s="177"/>
    <row r="24" ht="15.75" customHeight="1" s="177"/>
    <row r="25" ht="15.75" customHeight="1" s="177"/>
    <row r="26" ht="15.75" customHeight="1" s="177"/>
    <row r="27" ht="15.75" customHeight="1" s="177"/>
    <row r="28" ht="15.75" customHeight="1" s="177"/>
    <row r="29" ht="15.75" customHeight="1" s="177"/>
    <row r="30" ht="15.75" customHeight="1" s="177"/>
    <row r="31" ht="15.75" customHeight="1" s="177"/>
    <row r="32" ht="15.75" customHeight="1" s="177"/>
    <row r="33" ht="15.75" customHeight="1" s="177"/>
    <row r="34" ht="15.75" customHeight="1" s="177"/>
    <row r="35" ht="15.75" customHeight="1" s="177"/>
    <row r="36" ht="15.75" customHeight="1" s="177"/>
    <row r="37" ht="15.75" customHeight="1" s="177"/>
    <row r="38" ht="15.75" customHeight="1" s="177"/>
    <row r="39" ht="15.75" customHeight="1" s="177"/>
    <row r="40" ht="15.75" customHeight="1" s="177"/>
    <row r="41" ht="15.75" customHeight="1" s="177"/>
    <row r="42" ht="15.75" customHeight="1" s="177"/>
    <row r="43" ht="15.75" customHeight="1" s="177"/>
    <row r="44" ht="15.75" customHeight="1" s="177"/>
    <row r="45" ht="15.75" customHeight="1" s="177"/>
    <row r="46" ht="15.75" customHeight="1" s="177"/>
    <row r="47" ht="15.75" customHeight="1" s="177"/>
    <row r="48" ht="15.75" customHeight="1" s="177"/>
    <row r="49" ht="15.75" customHeight="1" s="177"/>
    <row r="50" ht="15.75" customHeight="1" s="177"/>
    <row r="51" ht="15.75" customHeight="1" s="177"/>
    <row r="52" ht="15.75" customHeight="1" s="177"/>
    <row r="53" ht="15.75" customHeight="1" s="177"/>
    <row r="54" ht="15.75" customHeight="1" s="177"/>
    <row r="55" ht="15.75" customHeight="1" s="177"/>
    <row r="56" ht="15.75" customHeight="1" s="177"/>
    <row r="57" ht="15.75" customHeight="1" s="177"/>
    <row r="58" ht="15.75" customHeight="1" s="177"/>
    <row r="59" ht="15.75" customHeight="1" s="177"/>
    <row r="60" ht="15.75" customHeight="1" s="177"/>
    <row r="61" ht="15.75" customHeight="1" s="177"/>
    <row r="62" ht="15.75" customHeight="1" s="177"/>
    <row r="63" ht="15.75" customHeight="1" s="177"/>
    <row r="64" ht="15.75" customHeight="1" s="177"/>
    <row r="65" ht="15.75" customHeight="1" s="177"/>
    <row r="66" ht="15.75" customHeight="1" s="177"/>
    <row r="67" ht="15.75" customHeight="1" s="177"/>
    <row r="68" ht="15.75" customHeight="1" s="177"/>
    <row r="69" ht="15.75" customHeight="1" s="177"/>
    <row r="70" ht="15.75" customHeight="1" s="177"/>
    <row r="71" ht="15.75" customHeight="1" s="177"/>
    <row r="72" ht="15.75" customHeight="1" s="177"/>
    <row r="73" ht="15.75" customHeight="1" s="177"/>
    <row r="74" ht="15.75" customHeight="1" s="177"/>
    <row r="75" ht="15.75" customHeight="1" s="177"/>
    <row r="76" ht="15.75" customHeight="1" s="177"/>
    <row r="77" ht="15.75" customHeight="1" s="177"/>
    <row r="78" ht="15.75" customHeight="1" s="177"/>
    <row r="79" ht="15.75" customHeight="1" s="177"/>
    <row r="80" ht="15.75" customHeight="1" s="177"/>
    <row r="81" ht="15.75" customHeight="1" s="177"/>
    <row r="82" ht="15.75" customHeight="1" s="177"/>
    <row r="83" ht="15.75" customHeight="1" s="177"/>
    <row r="84" ht="15.75" customHeight="1" s="177"/>
    <row r="85" ht="15.75" customHeight="1" s="177"/>
    <row r="86" ht="15.75" customHeight="1" s="177"/>
    <row r="87" ht="15.75" customHeight="1" s="177"/>
    <row r="88" ht="15.75" customHeight="1" s="177"/>
    <row r="89" ht="15.75" customHeight="1" s="177"/>
    <row r="90" ht="15.75" customHeight="1" s="177"/>
    <row r="91" ht="15.75" customHeight="1" s="177"/>
    <row r="92" ht="15.75" customHeight="1" s="177"/>
    <row r="93" ht="15.75" customHeight="1" s="177"/>
    <row r="94" ht="15.75" customHeight="1" s="177"/>
    <row r="95" ht="15.75" customHeight="1" s="177"/>
    <row r="96" ht="15.75" customHeight="1" s="177"/>
    <row r="97" ht="15.75" customHeight="1" s="177"/>
    <row r="98" ht="15.75" customHeight="1" s="177"/>
    <row r="99" ht="15.75" customHeight="1" s="177"/>
    <row r="100" ht="15.75" customHeight="1" s="177"/>
    <row r="101" ht="15.75" customHeight="1" s="177"/>
    <row r="102" ht="15.75" customHeight="1" s="177"/>
    <row r="103" ht="15.75" customHeight="1" s="177"/>
    <row r="104" ht="15.75" customHeight="1" s="177"/>
    <row r="105" ht="15.75" customHeight="1" s="177"/>
    <row r="106" ht="15.75" customHeight="1" s="177"/>
    <row r="107" ht="15.75" customHeight="1" s="177"/>
    <row r="108" ht="15.75" customHeight="1" s="177"/>
    <row r="109" ht="15.75" customHeight="1" s="177"/>
    <row r="110" ht="15.75" customHeight="1" s="177"/>
    <row r="111" ht="15.75" customHeight="1" s="177"/>
    <row r="112" ht="15.75" customHeight="1" s="177"/>
    <row r="113" ht="15.75" customHeight="1" s="177"/>
    <row r="114" ht="15.75" customHeight="1" s="177"/>
    <row r="115" ht="15.75" customHeight="1" s="177"/>
    <row r="116" ht="15.75" customHeight="1" s="177"/>
    <row r="117" ht="15.75" customHeight="1" s="177"/>
    <row r="118" ht="15.75" customHeight="1" s="177"/>
    <row r="119" ht="15.75" customHeight="1" s="177"/>
    <row r="120" ht="15.75" customHeight="1" s="177"/>
    <row r="121" ht="15.75" customHeight="1" s="177"/>
    <row r="122" ht="15.75" customHeight="1" s="177"/>
    <row r="123" ht="15.75" customHeight="1" s="177"/>
    <row r="124" ht="15.75" customHeight="1" s="177"/>
    <row r="125" ht="15.75" customHeight="1" s="177"/>
    <row r="126" ht="15.75" customHeight="1" s="177"/>
    <row r="127" ht="15.75" customHeight="1" s="177"/>
    <row r="128" ht="15.75" customHeight="1" s="177"/>
    <row r="129" ht="15.75" customHeight="1" s="177"/>
    <row r="130" ht="15.75" customHeight="1" s="177"/>
    <row r="131" ht="15.75" customHeight="1" s="177"/>
    <row r="132" ht="15.75" customHeight="1" s="177"/>
    <row r="133" ht="15.75" customHeight="1" s="177"/>
    <row r="134" ht="15.75" customHeight="1" s="177"/>
    <row r="135" ht="15.75" customHeight="1" s="177"/>
    <row r="136" ht="15.75" customHeight="1" s="177"/>
    <row r="137" ht="15.75" customHeight="1" s="177"/>
    <row r="138" ht="15.75" customHeight="1" s="177"/>
    <row r="139" ht="15.75" customHeight="1" s="177"/>
    <row r="140" ht="15.75" customHeight="1" s="177"/>
    <row r="141" ht="15.75" customHeight="1" s="177"/>
    <row r="142" ht="15.75" customHeight="1" s="177"/>
    <row r="143" ht="15.75" customHeight="1" s="177"/>
    <row r="144" ht="15.75" customHeight="1" s="177"/>
    <row r="145" ht="15.75" customHeight="1" s="177"/>
    <row r="146" ht="15.75" customHeight="1" s="177"/>
    <row r="147" ht="15.75" customHeight="1" s="177"/>
    <row r="148" ht="15.75" customHeight="1" s="177"/>
    <row r="149" ht="15.75" customHeight="1" s="177"/>
    <row r="150" ht="15.75" customHeight="1" s="177"/>
    <row r="151" ht="15.75" customHeight="1" s="177"/>
    <row r="152" ht="15.75" customHeight="1" s="177"/>
    <row r="153" ht="15.75" customHeight="1" s="177"/>
    <row r="154" ht="15.75" customHeight="1" s="177"/>
    <row r="155" ht="15.75" customHeight="1" s="177"/>
    <row r="156" ht="15.75" customHeight="1" s="177"/>
    <row r="157" ht="15.75" customHeight="1" s="177"/>
    <row r="158" ht="15.75" customHeight="1" s="177"/>
    <row r="159" ht="15.75" customHeight="1" s="177"/>
    <row r="160" ht="15.75" customHeight="1" s="177"/>
    <row r="161" ht="15.75" customHeight="1" s="177"/>
    <row r="162" ht="15.75" customHeight="1" s="177"/>
    <row r="163" ht="15.75" customHeight="1" s="177"/>
    <row r="164" ht="15.75" customHeight="1" s="177"/>
    <row r="165" ht="15.75" customHeight="1" s="177"/>
    <row r="166" ht="15.75" customHeight="1" s="177"/>
    <row r="167" ht="15.75" customHeight="1" s="177"/>
    <row r="168" ht="15.75" customHeight="1" s="177"/>
    <row r="169" ht="15.75" customHeight="1" s="177"/>
    <row r="170" ht="15.75" customHeight="1" s="177"/>
    <row r="171" ht="15.75" customHeight="1" s="177"/>
    <row r="172" ht="15.75" customHeight="1" s="177"/>
    <row r="173" ht="15.75" customHeight="1" s="177"/>
    <row r="174" ht="15.75" customHeight="1" s="177"/>
    <row r="175" ht="15.75" customHeight="1" s="177"/>
    <row r="176" ht="15.75" customHeight="1" s="177"/>
    <row r="177" ht="15.75" customHeight="1" s="177"/>
    <row r="178" ht="15.75" customHeight="1" s="177"/>
    <row r="179" ht="15.75" customHeight="1" s="177"/>
    <row r="180" ht="15.75" customHeight="1" s="177"/>
    <row r="181" ht="15.75" customHeight="1" s="177"/>
    <row r="182" ht="15.75" customHeight="1" s="177"/>
    <row r="183" ht="15.75" customHeight="1" s="177"/>
    <row r="184" ht="15.75" customHeight="1" s="177"/>
    <row r="185" ht="15.75" customHeight="1" s="177"/>
    <row r="186" ht="15.75" customHeight="1" s="177"/>
    <row r="187" ht="15.75" customHeight="1" s="177"/>
    <row r="188" ht="15.75" customHeight="1" s="177"/>
    <row r="189" ht="15.75" customHeight="1" s="177"/>
    <row r="190" ht="15.75" customHeight="1" s="177"/>
    <row r="191" ht="15.75" customHeight="1" s="177"/>
    <row r="192" ht="15.75" customHeight="1" s="177"/>
    <row r="193" ht="15.75" customHeight="1" s="177"/>
    <row r="194" ht="15.75" customHeight="1" s="177"/>
    <row r="195" ht="15.75" customHeight="1" s="177"/>
    <row r="196" ht="15.75" customHeight="1" s="177"/>
    <row r="197" ht="15.75" customHeight="1" s="177"/>
    <row r="198" ht="15.75" customHeight="1" s="177"/>
    <row r="199" ht="15.75" customHeight="1" s="177"/>
    <row r="200" ht="15.75" customHeight="1" s="177"/>
    <row r="201" ht="15.75" customHeight="1" s="177"/>
    <row r="202" ht="15.75" customHeight="1" s="177"/>
    <row r="203" ht="15.75" customHeight="1" s="177"/>
    <row r="204" ht="15.75" customHeight="1" s="177"/>
    <row r="205" ht="15.75" customHeight="1" s="177"/>
    <row r="206" ht="15.75" customHeight="1" s="177"/>
    <row r="207" ht="15.75" customHeight="1" s="177"/>
    <row r="208" ht="15.75" customHeight="1" s="177"/>
    <row r="209" ht="15.75" customHeight="1" s="177"/>
    <row r="210" ht="15.75" customHeight="1" s="177"/>
    <row r="211" ht="15.75" customHeight="1" s="177"/>
    <row r="212" ht="15.75" customHeight="1" s="177"/>
    <row r="213" ht="15.75" customHeight="1" s="177"/>
    <row r="214" ht="15.75" customHeight="1" s="177"/>
    <row r="215" ht="15.75" customHeight="1" s="177"/>
    <row r="216" ht="15.75" customHeight="1" s="177"/>
    <row r="217" ht="15.75" customHeight="1" s="177"/>
    <row r="218" ht="15.75" customHeight="1" s="177"/>
    <row r="219" ht="15.75" customHeight="1" s="177"/>
    <row r="220" ht="15.75" customHeight="1" s="177"/>
    <row r="221" ht="15.75" customHeight="1" s="177"/>
    <row r="222" ht="15.75" customHeight="1" s="177"/>
    <row r="223" ht="15.75" customHeight="1" s="177"/>
    <row r="224" ht="15.75" customHeight="1" s="177"/>
    <row r="225" ht="15.75" customHeight="1" s="177"/>
    <row r="226" ht="15.75" customHeight="1" s="177"/>
    <row r="227" ht="15.75" customHeight="1" s="177"/>
    <row r="228" ht="15.75" customHeight="1" s="177"/>
    <row r="229" ht="15.75" customHeight="1" s="177"/>
    <row r="230" ht="15.75" customHeight="1" s="177"/>
    <row r="231" ht="15.75" customHeight="1" s="177"/>
    <row r="232" ht="15.75" customHeight="1" s="177"/>
    <row r="233" ht="15.75" customHeight="1" s="177"/>
    <row r="234" ht="15.75" customHeight="1" s="177"/>
    <row r="235" ht="15.75" customHeight="1" s="177"/>
    <row r="236" ht="15.75" customHeight="1" s="177"/>
    <row r="237" ht="15.75" customHeight="1" s="177"/>
    <row r="238" ht="15.75" customHeight="1" s="177"/>
    <row r="239" ht="15.75" customHeight="1" s="177"/>
    <row r="240" ht="15.75" customHeight="1" s="177"/>
    <row r="241" ht="15.75" customHeight="1" s="177"/>
    <row r="242" ht="15.75" customHeight="1" s="177"/>
    <row r="243" ht="15.75" customHeight="1" s="177"/>
    <row r="244" ht="15.75" customHeight="1" s="177"/>
    <row r="245" ht="15.75" customHeight="1" s="177"/>
    <row r="246" ht="15.75" customHeight="1" s="177"/>
    <row r="247" ht="15.75" customHeight="1" s="177"/>
    <row r="248" ht="15.75" customHeight="1" s="177"/>
    <row r="249" ht="15.75" customHeight="1" s="177"/>
    <row r="250" ht="15.75" customHeight="1" s="177"/>
    <row r="251" ht="15.75" customHeight="1" s="177"/>
    <row r="252" ht="15.75" customHeight="1" s="177"/>
    <row r="253" ht="15.75" customHeight="1" s="177"/>
    <row r="254" ht="15.75" customHeight="1" s="177"/>
    <row r="255" ht="15.75" customHeight="1" s="177"/>
    <row r="256" ht="15.75" customHeight="1" s="177"/>
    <row r="257" ht="15.75" customHeight="1" s="177"/>
    <row r="258" ht="15.75" customHeight="1" s="177"/>
    <row r="259" ht="15.75" customHeight="1" s="177"/>
    <row r="260" ht="15.75" customHeight="1" s="177"/>
    <row r="261" ht="15.75" customHeight="1" s="177"/>
    <row r="262" ht="15.75" customHeight="1" s="177"/>
    <row r="263" ht="15.75" customHeight="1" s="177"/>
    <row r="264" ht="15.75" customHeight="1" s="177"/>
    <row r="265" ht="15.75" customHeight="1" s="177"/>
    <row r="266" ht="15.75" customHeight="1" s="177"/>
    <row r="267" ht="15.75" customHeight="1" s="177"/>
    <row r="268" ht="15.75" customHeight="1" s="177"/>
    <row r="269" ht="15.75" customHeight="1" s="177"/>
    <row r="270" ht="15.75" customHeight="1" s="177"/>
    <row r="271" ht="15.75" customHeight="1" s="177"/>
    <row r="272" ht="15.75" customHeight="1" s="177"/>
    <row r="273" ht="15.75" customHeight="1" s="177"/>
    <row r="274" ht="15.75" customHeight="1" s="177"/>
    <row r="275" ht="15.75" customHeight="1" s="177"/>
    <row r="276" ht="15.75" customHeight="1" s="177"/>
    <row r="277" ht="15.75" customHeight="1" s="177"/>
    <row r="278" ht="15.75" customHeight="1" s="177"/>
    <row r="279" ht="15.75" customHeight="1" s="177"/>
    <row r="280" ht="15.75" customHeight="1" s="177"/>
    <row r="281" ht="15.75" customHeight="1" s="177"/>
    <row r="282" ht="15.75" customHeight="1" s="177"/>
    <row r="283" ht="15.75" customHeight="1" s="177"/>
    <row r="284" ht="15.75" customHeight="1" s="177"/>
    <row r="285" ht="15.75" customHeight="1" s="177"/>
    <row r="286" ht="15.75" customHeight="1" s="177"/>
    <row r="287" ht="15.75" customHeight="1" s="177"/>
    <row r="288" ht="15.75" customHeight="1" s="177"/>
    <row r="289" ht="15.75" customHeight="1" s="177"/>
    <row r="290" ht="15.75" customHeight="1" s="177"/>
    <row r="291" ht="15.75" customHeight="1" s="177"/>
    <row r="292" ht="15.75" customHeight="1" s="177"/>
    <row r="293" ht="15.75" customHeight="1" s="177"/>
    <row r="294" ht="15.75" customHeight="1" s="177"/>
    <row r="295" ht="15.75" customHeight="1" s="177"/>
    <row r="296" ht="15.75" customHeight="1" s="177"/>
    <row r="297" ht="15.75" customHeight="1" s="177"/>
    <row r="298" ht="15.75" customHeight="1" s="177"/>
    <row r="299" ht="15.75" customHeight="1" s="177"/>
    <row r="300" ht="15.75" customHeight="1" s="177"/>
    <row r="301" ht="15.75" customHeight="1" s="177"/>
    <row r="302" ht="15.75" customHeight="1" s="177"/>
    <row r="303" ht="15.75" customHeight="1" s="177"/>
    <row r="304" ht="15.75" customHeight="1" s="177"/>
    <row r="305" ht="15.75" customHeight="1" s="177"/>
    <row r="306" ht="15.75" customHeight="1" s="177"/>
    <row r="307" ht="15.75" customHeight="1" s="177"/>
    <row r="308" ht="15.75" customHeight="1" s="177"/>
    <row r="309" ht="15.75" customHeight="1" s="177"/>
    <row r="310" ht="15.75" customHeight="1" s="177"/>
    <row r="311" ht="15.75" customHeight="1" s="177"/>
    <row r="312" ht="15.75" customHeight="1" s="177"/>
    <row r="313" ht="15.75" customHeight="1" s="177"/>
    <row r="314" ht="15.75" customHeight="1" s="177"/>
    <row r="315" ht="15.75" customHeight="1" s="177"/>
    <row r="316" ht="15.75" customHeight="1" s="177"/>
    <row r="317" ht="15.75" customHeight="1" s="177"/>
    <row r="318" ht="15.75" customHeight="1" s="177"/>
    <row r="319" ht="15.75" customHeight="1" s="177"/>
    <row r="320" ht="15.75" customHeight="1" s="177"/>
    <row r="321" ht="15.75" customHeight="1" s="177"/>
    <row r="322" ht="15.75" customHeight="1" s="177"/>
    <row r="323" ht="15.75" customHeight="1" s="177"/>
    <row r="324" ht="15.75" customHeight="1" s="177"/>
    <row r="325" ht="15.75" customHeight="1" s="177"/>
    <row r="326" ht="15.75" customHeight="1" s="177"/>
    <row r="327" ht="15.75" customHeight="1" s="177"/>
    <row r="328" ht="15.75" customHeight="1" s="177"/>
    <row r="329" ht="15.75" customHeight="1" s="177"/>
    <row r="330" ht="15.75" customHeight="1" s="177"/>
    <row r="331" ht="15.75" customHeight="1" s="177"/>
    <row r="332" ht="15.75" customHeight="1" s="177"/>
    <row r="333" ht="15.75" customHeight="1" s="177"/>
    <row r="334" ht="15.75" customHeight="1" s="177"/>
    <row r="335" ht="15.75" customHeight="1" s="177"/>
    <row r="336" ht="15.75" customHeight="1" s="177"/>
    <row r="337" ht="15.75" customHeight="1" s="177"/>
    <row r="338" ht="15.75" customHeight="1" s="177"/>
    <row r="339" ht="15.75" customHeight="1" s="177"/>
    <row r="340" ht="15.75" customHeight="1" s="177"/>
    <row r="341" ht="15.75" customHeight="1" s="177"/>
    <row r="342" ht="15.75" customHeight="1" s="177"/>
    <row r="343" ht="15.75" customHeight="1" s="177"/>
    <row r="344" ht="15.75" customHeight="1" s="177"/>
    <row r="345" ht="15.75" customHeight="1" s="177"/>
    <row r="346" ht="15.75" customHeight="1" s="177"/>
    <row r="347" ht="15.75" customHeight="1" s="177"/>
    <row r="348" ht="15.75" customHeight="1" s="177"/>
    <row r="349" ht="15.75" customHeight="1" s="177"/>
    <row r="350" ht="15.75" customHeight="1" s="177"/>
    <row r="351" ht="15.75" customHeight="1" s="177"/>
    <row r="352" ht="15.75" customHeight="1" s="177"/>
    <row r="353" ht="15.75" customHeight="1" s="177"/>
    <row r="354" ht="15.75" customHeight="1" s="177"/>
    <row r="355" ht="15.75" customHeight="1" s="177"/>
    <row r="356" ht="15.75" customHeight="1" s="177"/>
    <row r="357" ht="15.75" customHeight="1" s="177"/>
    <row r="358" ht="15.75" customHeight="1" s="177"/>
    <row r="359" ht="15.75" customHeight="1" s="177"/>
    <row r="360" ht="15.75" customHeight="1" s="177"/>
    <row r="361" ht="15.75" customHeight="1" s="177"/>
    <row r="362" ht="15.75" customHeight="1" s="177"/>
    <row r="363" ht="15.75" customHeight="1" s="177"/>
    <row r="364" ht="15.75" customHeight="1" s="177"/>
    <row r="365" ht="15.75" customHeight="1" s="177"/>
    <row r="366" ht="15.75" customHeight="1" s="177"/>
    <row r="367" ht="15.75" customHeight="1" s="177"/>
    <row r="368" ht="15.75" customHeight="1" s="177"/>
    <row r="369" ht="15.75" customHeight="1" s="177"/>
    <row r="370" ht="15.75" customHeight="1" s="177"/>
    <row r="371" ht="15.75" customHeight="1" s="177"/>
    <row r="372" ht="15.75" customHeight="1" s="177"/>
    <row r="373" ht="15.75" customHeight="1" s="177"/>
    <row r="374" ht="15.75" customHeight="1" s="177"/>
    <row r="375" ht="15.75" customHeight="1" s="177"/>
    <row r="376" ht="15.75" customHeight="1" s="177"/>
    <row r="377" ht="15.75" customHeight="1" s="177"/>
    <row r="378" ht="15.75" customHeight="1" s="177"/>
    <row r="379" ht="15.75" customHeight="1" s="177"/>
    <row r="380" ht="15.75" customHeight="1" s="177"/>
    <row r="381" ht="15.75" customHeight="1" s="177"/>
    <row r="382" ht="15.75" customHeight="1" s="177"/>
    <row r="383" ht="15.75" customHeight="1" s="177"/>
    <row r="384" ht="15.75" customHeight="1" s="177"/>
    <row r="385" ht="15.75" customHeight="1" s="177"/>
    <row r="386" ht="15.75" customHeight="1" s="177"/>
    <row r="387" ht="15.75" customHeight="1" s="177"/>
    <row r="388" ht="15.75" customHeight="1" s="177"/>
    <row r="389" ht="15.75" customHeight="1" s="177"/>
    <row r="390" ht="15.75" customHeight="1" s="177"/>
    <row r="391" ht="15.75" customHeight="1" s="177"/>
    <row r="392" ht="15.75" customHeight="1" s="177"/>
    <row r="393" ht="15.75" customHeight="1" s="177"/>
    <row r="394" ht="15.75" customHeight="1" s="177"/>
    <row r="395" ht="15.75" customHeight="1" s="177"/>
    <row r="396" ht="15.75" customHeight="1" s="177"/>
    <row r="397" ht="15.75" customHeight="1" s="177"/>
    <row r="398" ht="15.75" customHeight="1" s="177"/>
    <row r="399" ht="15.75" customHeight="1" s="177"/>
    <row r="400" ht="15.75" customHeight="1" s="177"/>
    <row r="401" ht="15.75" customHeight="1" s="177"/>
    <row r="402" ht="15.75" customHeight="1" s="177"/>
    <row r="403" ht="15.75" customHeight="1" s="177"/>
    <row r="404" ht="15.75" customHeight="1" s="177"/>
    <row r="405" ht="15.75" customHeight="1" s="177"/>
    <row r="406" ht="15.75" customHeight="1" s="177"/>
    <row r="407" ht="15.75" customHeight="1" s="177"/>
    <row r="408" ht="15.75" customHeight="1" s="177"/>
    <row r="409" ht="15.75" customHeight="1" s="177"/>
    <row r="410" ht="15.75" customHeight="1" s="177"/>
    <row r="411" ht="15.75" customHeight="1" s="177"/>
    <row r="412" ht="15.75" customHeight="1" s="177"/>
    <row r="413" ht="15.75" customHeight="1" s="177"/>
    <row r="414" ht="15.75" customHeight="1" s="177"/>
    <row r="415" ht="15.75" customHeight="1" s="177"/>
    <row r="416" ht="15.75" customHeight="1" s="177"/>
    <row r="417" ht="15.75" customHeight="1" s="177"/>
    <row r="418" ht="15.75" customHeight="1" s="177"/>
    <row r="419" ht="15.75" customHeight="1" s="177"/>
    <row r="420" ht="15.75" customHeight="1" s="177"/>
    <row r="421" ht="15.75" customHeight="1" s="177"/>
    <row r="422" ht="15.75" customHeight="1" s="177"/>
    <row r="423" ht="15.75" customHeight="1" s="177"/>
    <row r="424" ht="15.75" customHeight="1" s="177"/>
    <row r="425" ht="15.75" customHeight="1" s="177"/>
    <row r="426" ht="15.75" customHeight="1" s="177"/>
    <row r="427" ht="15.75" customHeight="1" s="177"/>
    <row r="428" ht="15.75" customHeight="1" s="177"/>
    <row r="429" ht="15.75" customHeight="1" s="177"/>
    <row r="430" ht="15.75" customHeight="1" s="177"/>
    <row r="431" ht="15.75" customHeight="1" s="177"/>
    <row r="432" ht="15.75" customHeight="1" s="177"/>
    <row r="433" ht="15.75" customHeight="1" s="177"/>
    <row r="434" ht="15.75" customHeight="1" s="177"/>
    <row r="435" ht="15.75" customHeight="1" s="177"/>
    <row r="436" ht="15.75" customHeight="1" s="177"/>
    <row r="437" ht="15.75" customHeight="1" s="177"/>
    <row r="438" ht="15.75" customHeight="1" s="177"/>
    <row r="439" ht="15.75" customHeight="1" s="177"/>
    <row r="440" ht="15.75" customHeight="1" s="177"/>
    <row r="441" ht="15.75" customHeight="1" s="177"/>
    <row r="442" ht="15.75" customHeight="1" s="177"/>
    <row r="443" ht="15.75" customHeight="1" s="177"/>
    <row r="444" ht="15.75" customHeight="1" s="177"/>
    <row r="445" ht="15.75" customHeight="1" s="177"/>
    <row r="446" ht="15.75" customHeight="1" s="177"/>
    <row r="447" ht="15.75" customHeight="1" s="177"/>
    <row r="448" ht="15.75" customHeight="1" s="177"/>
    <row r="449" ht="15.75" customHeight="1" s="177"/>
    <row r="450" ht="15.75" customHeight="1" s="177"/>
    <row r="451" ht="15.75" customHeight="1" s="177"/>
    <row r="452" ht="15.75" customHeight="1" s="177"/>
    <row r="453" ht="15.75" customHeight="1" s="177"/>
    <row r="454" ht="15.75" customHeight="1" s="177"/>
    <row r="455" ht="15.75" customHeight="1" s="177"/>
    <row r="456" ht="15.75" customHeight="1" s="177"/>
    <row r="457" ht="15.75" customHeight="1" s="177"/>
    <row r="458" ht="15.75" customHeight="1" s="177"/>
    <row r="459" ht="15.75" customHeight="1" s="177"/>
    <row r="460" ht="15.75" customHeight="1" s="177"/>
    <row r="461" ht="15.75" customHeight="1" s="177"/>
    <row r="462" ht="15.75" customHeight="1" s="177"/>
    <row r="463" ht="15.75" customHeight="1" s="177"/>
    <row r="464" ht="15.75" customHeight="1" s="177"/>
    <row r="465" ht="15.75" customHeight="1" s="177"/>
    <row r="466" ht="15.75" customHeight="1" s="177"/>
    <row r="467" ht="15.75" customHeight="1" s="177"/>
    <row r="468" ht="15.75" customHeight="1" s="177"/>
    <row r="469" ht="15.75" customHeight="1" s="177"/>
    <row r="470" ht="15.75" customHeight="1" s="177"/>
    <row r="471" ht="15.75" customHeight="1" s="177"/>
    <row r="472" ht="15.75" customHeight="1" s="177"/>
    <row r="473" ht="15.75" customHeight="1" s="177"/>
    <row r="474" ht="15.75" customHeight="1" s="177"/>
    <row r="475" ht="15.75" customHeight="1" s="177"/>
    <row r="476" ht="15.75" customHeight="1" s="177"/>
    <row r="477" ht="15.75" customHeight="1" s="177"/>
    <row r="478" ht="15.75" customHeight="1" s="177"/>
    <row r="479" ht="15.75" customHeight="1" s="177"/>
    <row r="480" ht="15.75" customHeight="1" s="177"/>
    <row r="481" ht="15.75" customHeight="1" s="177"/>
    <row r="482" ht="15.75" customHeight="1" s="177"/>
    <row r="483" ht="15.75" customHeight="1" s="177"/>
    <row r="484" ht="15.75" customHeight="1" s="177"/>
    <row r="485" ht="15.75" customHeight="1" s="177"/>
    <row r="486" ht="15.75" customHeight="1" s="177"/>
    <row r="487" ht="15.75" customHeight="1" s="177"/>
    <row r="488" ht="15.75" customHeight="1" s="177"/>
    <row r="489" ht="15.75" customHeight="1" s="177"/>
    <row r="490" ht="15.75" customHeight="1" s="177"/>
    <row r="491" ht="15.75" customHeight="1" s="177"/>
    <row r="492" ht="15.75" customHeight="1" s="177"/>
    <row r="493" ht="15.75" customHeight="1" s="177"/>
    <row r="494" ht="15.75" customHeight="1" s="177"/>
    <row r="495" ht="15.75" customHeight="1" s="177"/>
    <row r="496" ht="15.75" customHeight="1" s="177"/>
    <row r="497" ht="15.75" customHeight="1" s="177"/>
    <row r="498" ht="15.75" customHeight="1" s="177"/>
    <row r="499" ht="15.75" customHeight="1" s="177"/>
    <row r="500" ht="15.75" customHeight="1" s="177"/>
    <row r="501" ht="15.75" customHeight="1" s="177"/>
    <row r="502" ht="15.75" customHeight="1" s="177"/>
    <row r="503" ht="15.75" customHeight="1" s="177"/>
    <row r="504" ht="15.75" customHeight="1" s="177"/>
    <row r="505" ht="15.75" customHeight="1" s="177"/>
    <row r="506" ht="15.75" customHeight="1" s="177"/>
    <row r="507" ht="15.75" customHeight="1" s="177"/>
    <row r="508" ht="15.75" customHeight="1" s="177"/>
    <row r="509" ht="15.75" customHeight="1" s="177"/>
    <row r="510" ht="15.75" customHeight="1" s="177"/>
    <row r="511" ht="15.75" customHeight="1" s="177"/>
    <row r="512" ht="15.75" customHeight="1" s="177"/>
    <row r="513" ht="15.75" customHeight="1" s="177"/>
    <row r="514" ht="15.75" customHeight="1" s="177"/>
    <row r="515" ht="15.75" customHeight="1" s="177"/>
    <row r="516" ht="15.75" customHeight="1" s="177"/>
    <row r="517" ht="15.75" customHeight="1" s="177"/>
    <row r="518" ht="15.75" customHeight="1" s="177"/>
    <row r="519" ht="15.75" customHeight="1" s="177"/>
    <row r="520" ht="15.75" customHeight="1" s="177"/>
    <row r="521" ht="15.75" customHeight="1" s="177"/>
    <row r="522" ht="15.75" customHeight="1" s="177"/>
    <row r="523" ht="15.75" customHeight="1" s="177"/>
    <row r="524" ht="15.75" customHeight="1" s="177"/>
    <row r="525" ht="15.75" customHeight="1" s="177"/>
    <row r="526" ht="15.75" customHeight="1" s="177"/>
    <row r="527" ht="15.75" customHeight="1" s="177"/>
    <row r="528" ht="15.75" customHeight="1" s="177"/>
    <row r="529" ht="15.75" customHeight="1" s="177"/>
    <row r="530" ht="15.75" customHeight="1" s="177"/>
    <row r="531" ht="15.75" customHeight="1" s="177"/>
    <row r="532" ht="15.75" customHeight="1" s="177"/>
    <row r="533" ht="15.75" customHeight="1" s="177"/>
    <row r="534" ht="15.75" customHeight="1" s="177"/>
    <row r="535" ht="15.75" customHeight="1" s="177"/>
    <row r="536" ht="15.75" customHeight="1" s="177"/>
    <row r="537" ht="15.75" customHeight="1" s="177"/>
    <row r="538" ht="15.75" customHeight="1" s="177"/>
    <row r="539" ht="15.75" customHeight="1" s="177"/>
    <row r="540" ht="15.75" customHeight="1" s="177"/>
    <row r="541" ht="15.75" customHeight="1" s="177"/>
    <row r="542" ht="15.75" customHeight="1" s="177"/>
    <row r="543" ht="15.75" customHeight="1" s="177"/>
    <row r="544" ht="15.75" customHeight="1" s="177"/>
    <row r="545" ht="15.75" customHeight="1" s="177"/>
    <row r="546" ht="15.75" customHeight="1" s="177"/>
    <row r="547" ht="15.75" customHeight="1" s="177"/>
    <row r="548" ht="15.75" customHeight="1" s="177"/>
    <row r="549" ht="15.75" customHeight="1" s="177"/>
    <row r="550" ht="15.75" customHeight="1" s="177"/>
    <row r="551" ht="15.75" customHeight="1" s="177"/>
    <row r="552" ht="15.75" customHeight="1" s="177"/>
    <row r="553" ht="15.75" customHeight="1" s="177"/>
    <row r="554" ht="15.75" customHeight="1" s="177"/>
    <row r="555" ht="15.75" customHeight="1" s="177"/>
    <row r="556" ht="15.75" customHeight="1" s="177"/>
    <row r="557" ht="15.75" customHeight="1" s="177"/>
    <row r="558" ht="15.75" customHeight="1" s="177"/>
    <row r="559" ht="15.75" customHeight="1" s="177"/>
    <row r="560" ht="15.75" customHeight="1" s="177"/>
    <row r="561" ht="15.75" customHeight="1" s="177"/>
    <row r="562" ht="15.75" customHeight="1" s="177"/>
    <row r="563" ht="15.75" customHeight="1" s="177"/>
    <row r="564" ht="15.75" customHeight="1" s="177"/>
    <row r="565" ht="15.75" customHeight="1" s="177"/>
    <row r="566" ht="15.75" customHeight="1" s="177"/>
    <row r="567" ht="15.75" customHeight="1" s="177"/>
    <row r="568" ht="15.75" customHeight="1" s="177"/>
    <row r="569" ht="15.75" customHeight="1" s="177"/>
    <row r="570" ht="15.75" customHeight="1" s="177"/>
    <row r="571" ht="15.75" customHeight="1" s="177"/>
    <row r="572" ht="15.75" customHeight="1" s="177"/>
    <row r="573" ht="15.75" customHeight="1" s="177"/>
    <row r="574" ht="15.75" customHeight="1" s="177"/>
    <row r="575" ht="15.75" customHeight="1" s="177"/>
    <row r="576" ht="15.75" customHeight="1" s="177"/>
    <row r="577" ht="15.75" customHeight="1" s="177"/>
    <row r="578" ht="15.75" customHeight="1" s="177"/>
    <row r="579" ht="15.75" customHeight="1" s="177"/>
    <row r="580" ht="15.75" customHeight="1" s="177"/>
    <row r="581" ht="15.75" customHeight="1" s="177"/>
    <row r="582" ht="15.75" customHeight="1" s="177"/>
    <row r="583" ht="15.75" customHeight="1" s="177"/>
    <row r="584" ht="15.75" customHeight="1" s="177"/>
    <row r="585" ht="15.75" customHeight="1" s="177"/>
    <row r="586" ht="15.75" customHeight="1" s="177"/>
    <row r="587" ht="15.75" customHeight="1" s="177"/>
    <row r="588" ht="15.75" customHeight="1" s="177"/>
    <row r="589" ht="15.75" customHeight="1" s="177"/>
    <row r="590" ht="15.75" customHeight="1" s="177"/>
    <row r="591" ht="15.75" customHeight="1" s="177"/>
    <row r="592" ht="15.75" customHeight="1" s="177"/>
    <row r="593" ht="15.75" customHeight="1" s="177"/>
    <row r="594" ht="15.75" customHeight="1" s="177"/>
    <row r="595" ht="15.75" customHeight="1" s="177"/>
    <row r="596" ht="15.75" customHeight="1" s="177"/>
    <row r="597" ht="15.75" customHeight="1" s="177"/>
    <row r="598" ht="15.75" customHeight="1" s="177"/>
    <row r="599" ht="15.75" customHeight="1" s="177"/>
    <row r="600" ht="15.75" customHeight="1" s="177"/>
    <row r="601" ht="15.75" customHeight="1" s="177"/>
    <row r="602" ht="15.75" customHeight="1" s="177"/>
    <row r="603" ht="15.75" customHeight="1" s="177"/>
    <row r="604" ht="15.75" customHeight="1" s="177"/>
    <row r="605" ht="15.75" customHeight="1" s="177"/>
    <row r="606" ht="15.75" customHeight="1" s="177"/>
    <row r="607" ht="15.75" customHeight="1" s="177"/>
    <row r="608" ht="15.75" customHeight="1" s="177"/>
    <row r="609" ht="15.75" customHeight="1" s="177"/>
    <row r="610" ht="15.75" customHeight="1" s="177"/>
    <row r="611" ht="15.75" customHeight="1" s="177"/>
    <row r="612" ht="15.75" customHeight="1" s="177"/>
    <row r="613" ht="15.75" customHeight="1" s="177"/>
    <row r="614" ht="15.75" customHeight="1" s="177"/>
    <row r="615" ht="15.75" customHeight="1" s="177"/>
    <row r="616" ht="15.75" customHeight="1" s="177"/>
    <row r="617" ht="15.75" customHeight="1" s="177"/>
    <row r="618" ht="15.75" customHeight="1" s="177"/>
    <row r="619" ht="15.75" customHeight="1" s="177"/>
    <row r="620" ht="15.75" customHeight="1" s="177"/>
    <row r="621" ht="15.75" customHeight="1" s="177"/>
    <row r="622" ht="15.75" customHeight="1" s="177"/>
    <row r="623" ht="15.75" customHeight="1" s="177"/>
    <row r="624" ht="15.75" customHeight="1" s="177"/>
    <row r="625" ht="15.75" customHeight="1" s="177"/>
    <row r="626" ht="15.75" customHeight="1" s="177"/>
    <row r="627" ht="15.75" customHeight="1" s="177"/>
    <row r="628" ht="15.75" customHeight="1" s="177"/>
    <row r="629" ht="15.75" customHeight="1" s="177"/>
    <row r="630" ht="15.75" customHeight="1" s="177"/>
    <row r="631" ht="15.75" customHeight="1" s="177"/>
    <row r="632" ht="15.75" customHeight="1" s="177"/>
    <row r="633" ht="15.75" customHeight="1" s="177"/>
    <row r="634" ht="15.75" customHeight="1" s="177"/>
    <row r="635" ht="15.75" customHeight="1" s="177"/>
    <row r="636" ht="15.75" customHeight="1" s="177"/>
    <row r="637" ht="15.75" customHeight="1" s="177"/>
    <row r="638" ht="15.75" customHeight="1" s="177"/>
    <row r="639" ht="15.75" customHeight="1" s="177"/>
    <row r="640" ht="15.75" customHeight="1" s="177"/>
    <row r="641" ht="15.75" customHeight="1" s="177"/>
    <row r="642" ht="15.75" customHeight="1" s="177"/>
    <row r="643" ht="15.75" customHeight="1" s="177"/>
    <row r="644" ht="15.75" customHeight="1" s="177"/>
    <row r="645" ht="15.75" customHeight="1" s="177"/>
    <row r="646" ht="15.75" customHeight="1" s="177"/>
    <row r="647" ht="15.75" customHeight="1" s="177"/>
    <row r="648" ht="15.75" customHeight="1" s="177"/>
    <row r="649" ht="15.75" customHeight="1" s="177"/>
    <row r="650" ht="15.75" customHeight="1" s="177"/>
    <row r="651" ht="15.75" customHeight="1" s="177"/>
    <row r="652" ht="15.75" customHeight="1" s="177"/>
    <row r="653" ht="15.75" customHeight="1" s="177"/>
    <row r="654" ht="15.75" customHeight="1" s="177"/>
    <row r="655" ht="15.75" customHeight="1" s="177"/>
    <row r="656" ht="15.75" customHeight="1" s="177"/>
    <row r="657" ht="15.75" customHeight="1" s="177"/>
    <row r="658" ht="15.75" customHeight="1" s="177"/>
    <row r="659" ht="15.75" customHeight="1" s="177"/>
    <row r="660" ht="15.75" customHeight="1" s="177"/>
    <row r="661" ht="15.75" customHeight="1" s="177"/>
    <row r="662" ht="15.75" customHeight="1" s="177"/>
    <row r="663" ht="15.75" customHeight="1" s="177"/>
    <row r="664" ht="15.75" customHeight="1" s="177"/>
    <row r="665" ht="15.75" customHeight="1" s="177"/>
    <row r="666" ht="15.75" customHeight="1" s="177"/>
    <row r="667" ht="15.75" customHeight="1" s="177"/>
    <row r="668" ht="15.75" customHeight="1" s="177"/>
    <row r="669" ht="15.75" customHeight="1" s="177"/>
    <row r="670" ht="15.75" customHeight="1" s="177"/>
    <row r="671" ht="15.75" customHeight="1" s="177"/>
    <row r="672" ht="15.75" customHeight="1" s="177"/>
    <row r="673" ht="15.75" customHeight="1" s="177"/>
    <row r="674" ht="15.75" customHeight="1" s="177"/>
    <row r="675" ht="15.75" customHeight="1" s="177"/>
    <row r="676" ht="15.75" customHeight="1" s="177"/>
    <row r="677" ht="15.75" customHeight="1" s="177"/>
    <row r="678" ht="15.75" customHeight="1" s="177"/>
    <row r="679" ht="15.75" customHeight="1" s="177"/>
    <row r="680" ht="15.75" customHeight="1" s="177"/>
    <row r="681" ht="15.75" customHeight="1" s="177"/>
    <row r="682" ht="15.75" customHeight="1" s="177"/>
    <row r="683" ht="15.75" customHeight="1" s="177"/>
    <row r="684" ht="15.75" customHeight="1" s="177"/>
    <row r="685" ht="15.75" customHeight="1" s="177"/>
    <row r="686" ht="15.75" customHeight="1" s="177"/>
    <row r="687" ht="15.75" customHeight="1" s="177"/>
    <row r="688" ht="15.75" customHeight="1" s="177"/>
    <row r="689" ht="15.75" customHeight="1" s="177"/>
    <row r="690" ht="15.75" customHeight="1" s="177"/>
    <row r="691" ht="15.75" customHeight="1" s="177"/>
    <row r="692" ht="15.75" customHeight="1" s="177"/>
    <row r="693" ht="15.75" customHeight="1" s="177"/>
    <row r="694" ht="15.75" customHeight="1" s="177"/>
    <row r="695" ht="15.75" customHeight="1" s="177"/>
    <row r="696" ht="15.75" customHeight="1" s="177"/>
    <row r="697" ht="15.75" customHeight="1" s="177"/>
    <row r="698" ht="15.75" customHeight="1" s="177"/>
    <row r="699" ht="15.75" customHeight="1" s="177"/>
    <row r="700" ht="15.75" customHeight="1" s="177"/>
    <row r="701" ht="15.75" customHeight="1" s="177"/>
    <row r="702" ht="15.75" customHeight="1" s="177"/>
    <row r="703" ht="15.75" customHeight="1" s="177"/>
    <row r="704" ht="15.75" customHeight="1" s="177"/>
    <row r="705" ht="15.75" customHeight="1" s="177"/>
    <row r="706" ht="15.75" customHeight="1" s="177"/>
    <row r="707" ht="15.75" customHeight="1" s="177"/>
    <row r="708" ht="15.75" customHeight="1" s="177"/>
    <row r="709" ht="15.75" customHeight="1" s="177"/>
    <row r="710" ht="15.75" customHeight="1" s="177"/>
    <row r="711" ht="15.75" customHeight="1" s="177"/>
    <row r="712" ht="15.75" customHeight="1" s="177"/>
    <row r="713" ht="15.75" customHeight="1" s="177"/>
    <row r="714" ht="15.75" customHeight="1" s="177"/>
    <row r="715" ht="15.75" customHeight="1" s="177"/>
    <row r="716" ht="15.75" customHeight="1" s="177"/>
    <row r="717" ht="15.75" customHeight="1" s="177"/>
    <row r="718" ht="15.75" customHeight="1" s="177"/>
    <row r="719" ht="15.75" customHeight="1" s="177"/>
    <row r="720" ht="15.75" customHeight="1" s="177"/>
    <row r="721" ht="15.75" customHeight="1" s="177"/>
    <row r="722" ht="15.75" customHeight="1" s="177"/>
    <row r="723" ht="15.75" customHeight="1" s="177"/>
    <row r="724" ht="15.75" customHeight="1" s="177"/>
    <row r="725" ht="15.75" customHeight="1" s="177"/>
    <row r="726" ht="15.75" customHeight="1" s="177"/>
    <row r="727" ht="15.75" customHeight="1" s="177"/>
    <row r="728" ht="15.75" customHeight="1" s="177"/>
    <row r="729" ht="15.75" customHeight="1" s="177"/>
    <row r="730" ht="15.75" customHeight="1" s="177"/>
    <row r="731" ht="15.75" customHeight="1" s="177"/>
    <row r="732" ht="15.75" customHeight="1" s="177"/>
    <row r="733" ht="15.75" customHeight="1" s="177"/>
    <row r="734" ht="15.75" customHeight="1" s="177"/>
    <row r="735" ht="15.75" customHeight="1" s="177"/>
    <row r="736" ht="15.75" customHeight="1" s="177"/>
    <row r="737" ht="15.75" customHeight="1" s="177"/>
    <row r="738" ht="15.75" customHeight="1" s="177"/>
    <row r="739" ht="15.75" customHeight="1" s="177"/>
    <row r="740" ht="15.75" customHeight="1" s="177"/>
    <row r="741" ht="15.75" customHeight="1" s="177"/>
    <row r="742" ht="15.75" customHeight="1" s="177"/>
    <row r="743" ht="15.75" customHeight="1" s="177"/>
    <row r="744" ht="15.75" customHeight="1" s="177"/>
    <row r="745" ht="15.75" customHeight="1" s="177"/>
    <row r="746" ht="15.75" customHeight="1" s="177"/>
    <row r="747" ht="15.75" customHeight="1" s="177"/>
    <row r="748" ht="15.75" customHeight="1" s="177"/>
    <row r="749" ht="15.75" customHeight="1" s="177"/>
    <row r="750" ht="15.75" customHeight="1" s="177"/>
    <row r="751" ht="15.75" customHeight="1" s="177"/>
    <row r="752" ht="15.75" customHeight="1" s="177"/>
    <row r="753" ht="15.75" customHeight="1" s="177"/>
    <row r="754" ht="15.75" customHeight="1" s="177"/>
    <row r="755" ht="15.75" customHeight="1" s="177"/>
    <row r="756" ht="15.75" customHeight="1" s="177"/>
    <row r="757" ht="15.75" customHeight="1" s="177"/>
    <row r="758" ht="15.75" customHeight="1" s="177"/>
    <row r="759" ht="15.75" customHeight="1" s="177"/>
    <row r="760" ht="15.75" customHeight="1" s="177"/>
    <row r="761" ht="15.75" customHeight="1" s="177"/>
    <row r="762" ht="15.75" customHeight="1" s="177"/>
    <row r="763" ht="15.75" customHeight="1" s="177"/>
    <row r="764" ht="15.75" customHeight="1" s="177"/>
    <row r="765" ht="15.75" customHeight="1" s="177"/>
    <row r="766" ht="15.75" customHeight="1" s="177"/>
    <row r="767" ht="15.75" customHeight="1" s="177"/>
    <row r="768" ht="15.75" customHeight="1" s="177"/>
    <row r="769" ht="15.75" customHeight="1" s="177"/>
    <row r="770" ht="15.75" customHeight="1" s="177"/>
    <row r="771" ht="15.75" customHeight="1" s="177"/>
    <row r="772" ht="15.75" customHeight="1" s="177"/>
    <row r="773" ht="15.75" customHeight="1" s="177"/>
    <row r="774" ht="15.75" customHeight="1" s="177"/>
    <row r="775" ht="15.75" customHeight="1" s="177"/>
    <row r="776" ht="15.75" customHeight="1" s="177"/>
    <row r="777" ht="15.75" customHeight="1" s="177"/>
    <row r="778" ht="15.75" customHeight="1" s="177"/>
    <row r="779" ht="15.75" customHeight="1" s="177"/>
    <row r="780" ht="15.75" customHeight="1" s="177"/>
    <row r="781" ht="15.75" customHeight="1" s="177"/>
    <row r="782" ht="15.75" customHeight="1" s="177"/>
    <row r="783" ht="15.75" customHeight="1" s="177"/>
    <row r="784" ht="15.75" customHeight="1" s="177"/>
    <row r="785" ht="15.75" customHeight="1" s="177"/>
    <row r="786" ht="15.75" customHeight="1" s="177"/>
    <row r="787" ht="15.75" customHeight="1" s="177"/>
    <row r="788" ht="15.75" customHeight="1" s="177"/>
    <row r="789" ht="15.75" customHeight="1" s="177"/>
    <row r="790" ht="15.75" customHeight="1" s="177"/>
    <row r="791" ht="15.75" customHeight="1" s="177"/>
    <row r="792" ht="15.75" customHeight="1" s="177"/>
    <row r="793" ht="15.75" customHeight="1" s="177"/>
    <row r="794" ht="15.75" customHeight="1" s="177"/>
    <row r="795" ht="15.75" customHeight="1" s="177"/>
    <row r="796" ht="15.75" customHeight="1" s="177"/>
    <row r="797" ht="15.75" customHeight="1" s="177"/>
    <row r="798" ht="15.75" customHeight="1" s="177"/>
    <row r="799" ht="15.75" customHeight="1" s="177"/>
    <row r="800" ht="15.75" customHeight="1" s="177"/>
    <row r="801" ht="15.75" customHeight="1" s="177"/>
    <row r="802" ht="15.75" customHeight="1" s="177"/>
    <row r="803" ht="15.75" customHeight="1" s="177"/>
    <row r="804" ht="15.75" customHeight="1" s="177"/>
    <row r="805" ht="15.75" customHeight="1" s="177"/>
    <row r="806" ht="15.75" customHeight="1" s="177"/>
    <row r="807" ht="15.75" customHeight="1" s="177"/>
    <row r="808" ht="15.75" customHeight="1" s="177"/>
    <row r="809" ht="15.75" customHeight="1" s="177"/>
    <row r="810" ht="15.75" customHeight="1" s="177"/>
    <row r="811" ht="15.75" customHeight="1" s="177"/>
    <row r="812" ht="15.75" customHeight="1" s="177"/>
    <row r="813" ht="15.75" customHeight="1" s="177"/>
    <row r="814" ht="15.75" customHeight="1" s="177"/>
    <row r="815" ht="15.75" customHeight="1" s="177"/>
    <row r="816" ht="15.75" customHeight="1" s="177"/>
    <row r="817" ht="15.75" customHeight="1" s="177"/>
    <row r="818" ht="15.75" customHeight="1" s="177"/>
    <row r="819" ht="15.75" customHeight="1" s="177"/>
    <row r="820" ht="15.75" customHeight="1" s="177"/>
    <row r="821" ht="15.75" customHeight="1" s="177"/>
    <row r="822" ht="15.75" customHeight="1" s="177"/>
    <row r="823" ht="15.75" customHeight="1" s="177"/>
    <row r="824" ht="15.75" customHeight="1" s="177"/>
    <row r="825" ht="15.75" customHeight="1" s="177"/>
    <row r="826" ht="15.75" customHeight="1" s="177"/>
    <row r="827" ht="15.75" customHeight="1" s="177"/>
    <row r="828" ht="15.75" customHeight="1" s="177"/>
    <row r="829" ht="15.75" customHeight="1" s="177"/>
    <row r="830" ht="15.75" customHeight="1" s="177"/>
    <row r="831" ht="15.75" customHeight="1" s="177"/>
    <row r="832" ht="15.75" customHeight="1" s="177"/>
    <row r="833" ht="15.75" customHeight="1" s="177"/>
    <row r="834" ht="15.75" customHeight="1" s="177"/>
    <row r="835" ht="15.75" customHeight="1" s="177"/>
    <row r="836" ht="15.75" customHeight="1" s="177"/>
    <row r="837" ht="15.75" customHeight="1" s="177"/>
    <row r="838" ht="15.75" customHeight="1" s="177"/>
    <row r="839" ht="15.75" customHeight="1" s="177"/>
    <row r="840" ht="15.75" customHeight="1" s="177"/>
    <row r="841" ht="15.75" customHeight="1" s="177"/>
    <row r="842" ht="15.75" customHeight="1" s="177"/>
    <row r="843" ht="15.75" customHeight="1" s="177"/>
    <row r="844" ht="15.75" customHeight="1" s="177"/>
    <row r="845" ht="15.75" customHeight="1" s="177"/>
    <row r="846" ht="15.75" customHeight="1" s="177"/>
    <row r="847" ht="15.75" customHeight="1" s="177"/>
    <row r="848" ht="15.75" customHeight="1" s="177"/>
    <row r="849" ht="15.75" customHeight="1" s="177"/>
    <row r="850" ht="15.75" customHeight="1" s="177"/>
    <row r="851" ht="15.75" customHeight="1" s="177"/>
    <row r="852" ht="15.75" customHeight="1" s="177"/>
    <row r="853" ht="15.75" customHeight="1" s="177"/>
    <row r="854" ht="15.75" customHeight="1" s="177"/>
    <row r="855" ht="15.75" customHeight="1" s="177"/>
    <row r="856" ht="15.75" customHeight="1" s="177"/>
    <row r="857" ht="15.75" customHeight="1" s="177"/>
    <row r="858" ht="15.75" customHeight="1" s="177"/>
    <row r="859" ht="15.75" customHeight="1" s="177"/>
    <row r="860" ht="15.75" customHeight="1" s="177"/>
    <row r="861" ht="15.75" customHeight="1" s="177"/>
    <row r="862" ht="15.75" customHeight="1" s="177"/>
    <row r="863" ht="15.75" customHeight="1" s="177"/>
    <row r="864" ht="15.75" customHeight="1" s="177"/>
    <row r="865" ht="15.75" customHeight="1" s="177"/>
    <row r="866" ht="15.75" customHeight="1" s="177"/>
    <row r="867" ht="15.75" customHeight="1" s="177"/>
    <row r="868" ht="15.75" customHeight="1" s="177"/>
    <row r="869" ht="15.75" customHeight="1" s="177"/>
    <row r="870" ht="15.75" customHeight="1" s="177"/>
    <row r="871" ht="15.75" customHeight="1" s="177"/>
    <row r="872" ht="15.75" customHeight="1" s="177"/>
    <row r="873" ht="15.75" customHeight="1" s="177"/>
    <row r="874" ht="15.75" customHeight="1" s="177"/>
    <row r="875" ht="15.75" customHeight="1" s="177"/>
    <row r="876" ht="15.75" customHeight="1" s="177"/>
    <row r="877" ht="15.75" customHeight="1" s="177"/>
    <row r="878" ht="15.75" customHeight="1" s="177"/>
    <row r="879" ht="15.75" customHeight="1" s="177"/>
    <row r="880" ht="15.75" customHeight="1" s="177"/>
    <row r="881" ht="15.75" customHeight="1" s="177"/>
    <row r="882" ht="15.75" customHeight="1" s="177"/>
    <row r="883" ht="15.75" customHeight="1" s="177"/>
    <row r="884" ht="15.75" customHeight="1" s="177"/>
    <row r="885" ht="15.75" customHeight="1" s="177"/>
    <row r="886" ht="15.75" customHeight="1" s="177"/>
    <row r="887" ht="15.75" customHeight="1" s="177"/>
    <row r="888" ht="15.75" customHeight="1" s="177"/>
    <row r="889" ht="15.75" customHeight="1" s="177"/>
    <row r="890" ht="15.75" customHeight="1" s="177"/>
    <row r="891" ht="15.75" customHeight="1" s="177"/>
    <row r="892" ht="15.75" customHeight="1" s="177"/>
    <row r="893" ht="15.75" customHeight="1" s="177"/>
    <row r="894" ht="15.75" customHeight="1" s="177"/>
    <row r="895" ht="15.75" customHeight="1" s="177"/>
    <row r="896" ht="15.75" customHeight="1" s="177"/>
    <row r="897" ht="15.75" customHeight="1" s="177"/>
    <row r="898" ht="15.75" customHeight="1" s="177"/>
    <row r="899" ht="15.75" customHeight="1" s="177"/>
    <row r="900" ht="15.75" customHeight="1" s="177"/>
    <row r="901" ht="15.75" customHeight="1" s="177"/>
    <row r="902" ht="15.75" customHeight="1" s="177"/>
    <row r="903" ht="15.75" customHeight="1" s="177"/>
    <row r="904" ht="15.75" customHeight="1" s="177"/>
    <row r="905" ht="15.75" customHeight="1" s="177"/>
    <row r="906" ht="15.75" customHeight="1" s="177"/>
    <row r="907" ht="15.75" customHeight="1" s="177"/>
    <row r="908" ht="15.75" customHeight="1" s="177"/>
    <row r="909" ht="15.75" customHeight="1" s="177"/>
    <row r="910" ht="15.75" customHeight="1" s="177"/>
    <row r="911" ht="15.75" customHeight="1" s="177"/>
    <row r="912" ht="15.75" customHeight="1" s="177"/>
    <row r="913" ht="15.75" customHeight="1" s="177"/>
    <row r="914" ht="15.75" customHeight="1" s="177"/>
    <row r="915" ht="15.75" customHeight="1" s="177"/>
    <row r="916" ht="15.75" customHeight="1" s="177"/>
    <row r="917" ht="15.75" customHeight="1" s="177"/>
    <row r="918" ht="15.75" customHeight="1" s="177"/>
    <row r="919" ht="15.75" customHeight="1" s="177"/>
    <row r="920" ht="15.75" customHeight="1" s="177"/>
    <row r="921" ht="15.75" customHeight="1" s="177"/>
    <row r="922" ht="15.75" customHeight="1" s="177"/>
    <row r="923" ht="15.75" customHeight="1" s="177"/>
    <row r="924" ht="15.75" customHeight="1" s="177"/>
    <row r="925" ht="15.75" customHeight="1" s="177"/>
    <row r="926" ht="15.75" customHeight="1" s="177"/>
    <row r="927" ht="15.75" customHeight="1" s="177"/>
    <row r="928" ht="15.75" customHeight="1" s="177"/>
    <row r="929" ht="15.75" customHeight="1" s="177"/>
    <row r="930" ht="15.75" customHeight="1" s="177"/>
    <row r="931" ht="15.75" customHeight="1" s="177"/>
    <row r="932" ht="15.75" customHeight="1" s="177"/>
    <row r="933" ht="15.75" customHeight="1" s="177"/>
    <row r="934" ht="15.75" customHeight="1" s="177"/>
    <row r="935" ht="15.75" customHeight="1" s="177"/>
    <row r="936" ht="15.75" customHeight="1" s="177"/>
    <row r="937" ht="15.75" customHeight="1" s="177"/>
    <row r="938" ht="15.75" customHeight="1" s="177"/>
    <row r="939" ht="15.75" customHeight="1" s="177"/>
    <row r="940" ht="15.75" customHeight="1" s="177"/>
    <row r="941" ht="15.75" customHeight="1" s="177"/>
    <row r="942" ht="15.75" customHeight="1" s="177"/>
    <row r="943" ht="15.75" customHeight="1" s="177"/>
    <row r="944" ht="15.75" customHeight="1" s="177"/>
    <row r="945" ht="15.75" customHeight="1" s="177"/>
    <row r="946" ht="15.75" customHeight="1" s="177"/>
    <row r="947" ht="15.75" customHeight="1" s="177"/>
    <row r="948" ht="15.75" customHeight="1" s="177"/>
    <row r="949" ht="15.75" customHeight="1" s="177"/>
    <row r="950" ht="15.75" customHeight="1" s="177"/>
    <row r="951" ht="15.75" customHeight="1" s="177"/>
    <row r="952" ht="15.75" customHeight="1" s="177"/>
    <row r="953" ht="15.75" customHeight="1" s="177"/>
    <row r="954" ht="15.75" customHeight="1" s="177"/>
    <row r="955" ht="15.75" customHeight="1" s="177"/>
    <row r="956" ht="15.75" customHeight="1" s="177"/>
    <row r="957" ht="15.75" customHeight="1" s="177"/>
    <row r="958" ht="15.75" customHeight="1" s="177"/>
    <row r="959" ht="15.75" customHeight="1" s="177"/>
    <row r="960" ht="15.75" customHeight="1" s="177"/>
    <row r="961" ht="15.75" customHeight="1" s="177"/>
    <row r="962" ht="15.75" customHeight="1" s="177"/>
    <row r="963" ht="15.75" customHeight="1" s="177"/>
    <row r="964" ht="15.75" customHeight="1" s="177"/>
    <row r="965" ht="15.75" customHeight="1" s="177"/>
    <row r="966" ht="15.75" customHeight="1" s="177"/>
    <row r="967" ht="15.75" customHeight="1" s="177"/>
    <row r="968" ht="15.75" customHeight="1" s="177"/>
    <row r="969" ht="15.75" customHeight="1" s="177"/>
    <row r="970" ht="15.75" customHeight="1" s="177"/>
    <row r="971" ht="15.75" customHeight="1" s="177"/>
    <row r="972" ht="15.75" customHeight="1" s="177"/>
    <row r="973" ht="15.75" customHeight="1" s="177"/>
    <row r="974" ht="15.75" customHeight="1" s="177"/>
    <row r="975" ht="15.75" customHeight="1" s="177"/>
    <row r="976" ht="15.75" customHeight="1" s="177"/>
    <row r="977" ht="15.75" customHeight="1" s="177"/>
    <row r="978" ht="15.75" customHeight="1" s="177"/>
    <row r="979" ht="15.75" customHeight="1" s="177"/>
    <row r="980" ht="15.75" customHeight="1" s="177"/>
    <row r="981" ht="15.75" customHeight="1" s="177"/>
    <row r="982" ht="15.75" customHeight="1" s="177"/>
    <row r="983" ht="15.75" customHeight="1" s="177"/>
    <row r="984" ht="15.75" customHeight="1" s="177"/>
    <row r="985" ht="15.75" customHeight="1" s="177"/>
    <row r="986" ht="15.75" customHeight="1" s="177"/>
    <row r="987" ht="15.75" customHeight="1" s="177"/>
    <row r="988" ht="15.75" customHeight="1" s="177"/>
    <row r="989" ht="15.75" customHeight="1" s="177"/>
    <row r="990" ht="15.75" customHeight="1" s="177"/>
    <row r="991" ht="15.75" customHeight="1" s="177"/>
    <row r="992" ht="15.75" customHeight="1" s="177"/>
    <row r="993" ht="15.75" customHeight="1" s="177"/>
    <row r="994" ht="15.75" customHeight="1" s="177"/>
    <row r="995" ht="15.75" customHeight="1" s="177"/>
    <row r="996" ht="15.75" customHeight="1" s="177"/>
    <row r="997" ht="15.75" customHeight="1" s="177"/>
    <row r="998" ht="15.75" customHeight="1" s="177"/>
    <row r="999" ht="15.75" customHeight="1" s="177"/>
    <row r="1000" ht="15.75" customHeight="1" s="177"/>
  </sheetData>
  <mergeCells count="2">
    <mergeCell ref="B4:F4"/>
    <mergeCell ref="B2:F3"/>
  </mergeCells>
  <conditionalFormatting sqref="C7:C21">
    <cfRule type="cellIs" priority="1" operator="equal" dxfId="5">
      <formula>"Code Repository"</formula>
    </cfRule>
    <cfRule type="cellIs" priority="2" operator="equal" dxfId="6">
      <formula>"Project Management"</formula>
    </cfRule>
    <cfRule type="cellIs" priority="3" operator="equal" dxfId="7">
      <formula>"API Docs"</formula>
    </cfRule>
    <cfRule type="cellIs" priority="4" operator="equal" dxfId="7">
      <formula>"API Testing"</formula>
    </cfRule>
    <cfRule type="cellIs" priority="5" operator="equal" dxfId="8">
      <formula>"Architecture"</formula>
    </cfRule>
    <cfRule type="cellIs" priority="6" operator="equal" dxfId="9">
      <formula>"Web3 - Network"</formula>
    </cfRule>
    <cfRule type="cellIs" priority="7" operator="equal" dxfId="9">
      <formula>"Web3 - Faucet"</formula>
    </cfRule>
    <cfRule type="cellIs" priority="8" operator="equal" dxfId="9">
      <formula>"Web3 - IPFS"</formula>
    </cfRule>
    <cfRule type="cellIs" priority="9" operator="equal" dxfId="9">
      <formula>"Web3 - RPC"</formula>
    </cfRule>
    <cfRule type="cellIs" priority="10" operator="equal" dxfId="10">
      <formula>"Reference"</formula>
    </cfRule>
    <cfRule type="cellIs" priority="11" operator="equal" dxfId="11">
      <formula>"Cross-team"</formula>
    </cfRule>
  </conditionalFormatting>
  <dataValidations count="1">
    <dataValidation sqref="B7:B21" showDropDown="1" showInputMessage="0" showErrorMessage="0" allowBlank="1" type="custom">
      <formula1>AND(ISNUMBER(B7),(NOT(OR(NOT(ISERROR(DATEVALUE(B7))), AND(ISNUMBER(B7), LEFT(CELL("format", B7))="D")))))</formula1>
    </dataValidation>
  </dataValidations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14" r:id="rId3"/>
  </hyperlinks>
  <pageMargins left="0.75" right="0.75" top="1" bottom="1" header="0" footer="0"/>
  <pageSetup orientation="portrait" paperSize="9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2026-09-06T15:13:31Z</dcterms:created>
  <dcterms:modified xsi:type="dcterms:W3CDTF">2026-09-06T15:23:41Z</dcterms:modified>
</cp:coreProperties>
</file>